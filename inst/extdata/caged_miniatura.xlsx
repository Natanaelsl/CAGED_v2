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n\Documents\GitHub\CAGED_v2\inst\extdata\"/>
    </mc:Choice>
  </mc:AlternateContent>
  <xr:revisionPtr revIDLastSave="0" documentId="13_ncr:1_{31A590C9-CB0A-4E39-BAF8-81CB93D3EF99}" xr6:coauthVersionLast="47" xr6:coauthVersionMax="47" xr10:uidLastSave="{00000000-0000-0000-0000-000000000000}"/>
  <bookViews>
    <workbookView xWindow="-120" yWindow="-120" windowWidth="20730" windowHeight="11040" tabRatio="861" xr2:uid="{00000000-000D-0000-FFFF-FFFF00000000}"/>
  </bookViews>
  <sheets>
    <sheet name="Tabela 1" sheetId="73" r:id="rId1"/>
    <sheet name="Tabela 2" sheetId="18" r:id="rId2"/>
    <sheet name="Tabela 3" sheetId="66" r:id="rId3"/>
    <sheet name="Tabela 4" sheetId="84" r:id="rId4"/>
    <sheet name="Tabela 5" sheetId="85" r:id="rId5"/>
    <sheet name="Tabela 5.1" sheetId="86" r:id="rId6"/>
    <sheet name="Tabela 6" sheetId="62" r:id="rId7"/>
    <sheet name="Tabela 6.1" sheetId="81" r:id="rId8"/>
    <sheet name="Tabela 7" sheetId="75" r:id="rId9"/>
    <sheet name="Tabela 7.1" sheetId="82" r:id="rId10"/>
    <sheet name="Tabela 8" sheetId="88" r:id="rId11"/>
    <sheet name="Tabela 8.1" sheetId="89" r:id="rId12"/>
    <sheet name="Tabela 9" sheetId="90" r:id="rId13"/>
    <sheet name="Tabela 10" sheetId="91" r:id="rId14"/>
    <sheet name="Tabela 11" sheetId="92" r:id="rId15"/>
  </sheets>
  <definedNames>
    <definedName name="_xlnm._FilterDatabase" localSheetId="2" hidden="1">'Tabela 3'!$B$5:$D$6</definedName>
    <definedName name="_xlnm._FilterDatabase" localSheetId="7" hidden="1">'Tabela 6.1'!$B$6:$NB$10</definedName>
    <definedName name="_xlnm._FilterDatabase" localSheetId="10" hidden="1">'Tabela 8'!$B$5:$D$6</definedName>
    <definedName name="_xlnm._FilterDatabase" localSheetId="11" hidden="1">'Tabela 8.1'!$B$5:$D$10</definedName>
    <definedName name="_xlnm._FilterDatabase" localSheetId="12" hidden="1">'Tabela 9'!$B$5:$D$10</definedName>
    <definedName name="_xlnm.Print_Area" localSheetId="0">'Tabela 1'!$B$2:$F$10</definedName>
    <definedName name="_xlnm.Print_Area" localSheetId="13">'Tabela 10'!$B$2:$B$10</definedName>
    <definedName name="_xlnm.Print_Area" localSheetId="14">'Tabela 11'!$B$2:$B$10</definedName>
    <definedName name="_xlnm.Print_Area" localSheetId="1">'Tabela 2'!$B$2:$F$10</definedName>
    <definedName name="_xlnm.Print_Area" localSheetId="4">'Tabela 5'!$B$2:$G$10</definedName>
    <definedName name="_xlnm.Print_Area" localSheetId="5">'Tabela 5.1'!$B$2:$G$10</definedName>
    <definedName name="_xlnm.Print_Area" localSheetId="6">'Tabela 6'!$B$2:$B$10</definedName>
    <definedName name="_xlnm.Print_Area" localSheetId="7">'Tabela 6.1'!$B$2:$B$10</definedName>
    <definedName name="_xlnm.Print_Area" localSheetId="8">'Tabela 7'!$B$2:$FY$10</definedName>
    <definedName name="_xlnm.Print_Area" localSheetId="9">'Tabela 7.1'!$B$2:$B$10</definedName>
    <definedName name="_xlnm.Print_Area" localSheetId="12">'Tabela 9'!$B$2:$D$10</definedName>
    <definedName name="EVOLUÇÃO_DO_SALDO_DE_EMPREGO_FORMAL__SEGUNDO_O_CAGED_NOS_MESES_DE_DEZEMBRO___2003_A_2016" localSheetId="0">#REF!</definedName>
    <definedName name="EVOLUÇÃO_DO_SALDO_DE_EMPREGO_FORMAL__SEGUNDO_O_CAGED_NOS_MESES_DE_DEZEMBRO___2003_A_2016" localSheetId="13">'Tabela 10'!#REF!</definedName>
    <definedName name="EVOLUÇÃO_DO_SALDO_DE_EMPREGO_FORMAL__SEGUNDO_O_CAGED_NOS_MESES_DE_DEZEMBRO___2003_A_2016" localSheetId="6">#REF!</definedName>
    <definedName name="EVOLUÇÃO_DO_SALDO_DE_EMPREGO_FORMAL__SEGUNDO_O_CAGED_NOS_MESES_DE_DEZEMBRO___2003_A_2016" localSheetId="7">#REF!</definedName>
    <definedName name="EVOLUÇÃO_DO_SALDO_DE_EMPREGO_FORMAL__SEGUNDO_O_CAGED_NOS_MESES_DE_DEZEMBRO___2003_A_2016" localSheetId="8">#REF!</definedName>
    <definedName name="EVOLUÇÃO_DO_SALDO_DE_EMPREGO_FORMAL__SEGUNDO_O_CAGED_NOS_MESES_DE_DEZEMBRO___2003_A_2016" localSheetId="9">#REF!</definedName>
    <definedName name="EVOLUÇÃO_DO_SALDO_DE_EMPREGO_FORMAL__SEGUNDO_O_CAGED_NOS_MESES_DE_DEZEMBRO___2003_A_2016">#REF!</definedName>
    <definedName name="evoluçãso" localSheetId="0">#REF!</definedName>
    <definedName name="evoluçãso" localSheetId="13">'Tabela 10'!#REF!</definedName>
    <definedName name="evoluçãso" localSheetId="7">#REF!</definedName>
    <definedName name="evoluçãso" localSheetId="8">#REF!</definedName>
    <definedName name="evoluçãso" localSheetId="9">#REF!</definedName>
    <definedName name="evoluçãso">#REF!</definedName>
    <definedName name="SAIA_BR_RAZAON_BRASIL">"#ref!"</definedName>
    <definedName name="SAIA_BR_RAZAON_GR">"#ref!"</definedName>
    <definedName name="SAIA_BR_TOTALN_BRASIL">"#ref!"</definedName>
    <definedName name="SAIA_BR_TOTALN_GR">"#ref!"</definedName>
    <definedName name="SAIT_BR_RAZAO_BRASIL">"#ref!"</definedName>
    <definedName name="SAIT_BR_RAZAO_GR">"#ref!"</definedName>
    <definedName name="SAIT_BR_TOTAL_BRASIL">"#ref!"</definedName>
    <definedName name="SAIT_BR_TOTAL_GR">"#ref!"</definedName>
    <definedName name="_xlnm.Print_Titles" localSheetId="2">'Tabela 3'!#REF!</definedName>
    <definedName name="_xlnm.Print_Titles" localSheetId="10">'Tabela 8'!#REF!</definedName>
    <definedName name="_xlnm.Print_Titles" localSheetId="11">'Tabela 8.1'!#REF!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U10" i="88" l="1"/>
  <c r="NT10" i="88"/>
  <c r="NS10" i="88"/>
  <c r="NQ10" i="88"/>
  <c r="NP10" i="88"/>
  <c r="NO10" i="88"/>
  <c r="NU9" i="88"/>
  <c r="NT9" i="88"/>
  <c r="NS9" i="88"/>
  <c r="NQ9" i="88"/>
  <c r="NP9" i="88"/>
  <c r="NO9" i="88"/>
  <c r="NU8" i="88"/>
  <c r="NT8" i="88"/>
  <c r="NS8" i="88"/>
  <c r="NQ8" i="88"/>
  <c r="NP8" i="88"/>
  <c r="NO8" i="88"/>
  <c r="NU7" i="88"/>
  <c r="NT7" i="88"/>
  <c r="NS7" i="88"/>
  <c r="NQ7" i="88"/>
  <c r="NP7" i="88"/>
  <c r="NO7" i="88"/>
  <c r="NS8" i="89"/>
  <c r="NT8" i="89"/>
  <c r="NU8" i="89"/>
  <c r="NV8" i="89" s="1"/>
  <c r="NS9" i="89"/>
  <c r="NT9" i="89"/>
  <c r="NU9" i="89"/>
  <c r="NV9" i="89" s="1"/>
  <c r="NS10" i="89"/>
  <c r="NT10" i="89"/>
  <c r="NU10" i="89"/>
  <c r="NV10" i="89" s="1"/>
  <c r="NT7" i="89"/>
  <c r="NU7" i="89"/>
  <c r="NS7" i="89"/>
  <c r="NV7" i="89"/>
  <c r="NO8" i="89"/>
  <c r="NP8" i="89"/>
  <c r="NQ8" i="89"/>
  <c r="NR8" i="89"/>
  <c r="NO9" i="89"/>
  <c r="NP9" i="89"/>
  <c r="NQ9" i="89"/>
  <c r="NR9" i="89"/>
  <c r="NO10" i="89"/>
  <c r="NP10" i="89"/>
  <c r="NQ10" i="89"/>
  <c r="NR10" i="89"/>
  <c r="NP7" i="89"/>
  <c r="NQ7" i="89"/>
  <c r="NR7" i="89" s="1"/>
  <c r="NO7" i="89"/>
  <c r="NS10" i="75"/>
  <c r="NR10" i="75"/>
  <c r="NQ10" i="75"/>
  <c r="NO10" i="75"/>
  <c r="NN10" i="75"/>
  <c r="NM10" i="75"/>
  <c r="NS9" i="75"/>
  <c r="NR9" i="75"/>
  <c r="NQ9" i="75"/>
  <c r="NO9" i="75"/>
  <c r="NN9" i="75"/>
  <c r="NM9" i="75"/>
  <c r="NS8" i="75"/>
  <c r="NR8" i="75"/>
  <c r="NQ8" i="75"/>
  <c r="NO8" i="75"/>
  <c r="NN8" i="75"/>
  <c r="NM8" i="75"/>
  <c r="NS7" i="75"/>
  <c r="NR7" i="75"/>
  <c r="NQ7" i="75"/>
  <c r="NO7" i="75"/>
  <c r="NN7" i="75"/>
  <c r="NM7" i="75"/>
  <c r="NQ8" i="82"/>
  <c r="NR8" i="82"/>
  <c r="NS8" i="82"/>
  <c r="NT8" i="82" s="1"/>
  <c r="NQ9" i="82"/>
  <c r="NR9" i="82"/>
  <c r="NS9" i="82"/>
  <c r="NT9" i="82" s="1"/>
  <c r="NQ10" i="82"/>
  <c r="NR10" i="82"/>
  <c r="NS10" i="82"/>
  <c r="NT10" i="82" s="1"/>
  <c r="NR7" i="82"/>
  <c r="NS7" i="82"/>
  <c r="NT7" i="82" s="1"/>
  <c r="NQ7" i="82"/>
  <c r="NM8" i="82"/>
  <c r="NN8" i="82"/>
  <c r="NO8" i="82"/>
  <c r="NP8" i="82" s="1"/>
  <c r="NM9" i="82"/>
  <c r="NN9" i="82"/>
  <c r="NO9" i="82"/>
  <c r="NP9" i="82" s="1"/>
  <c r="NM10" i="82"/>
  <c r="NN10" i="82"/>
  <c r="NO10" i="82"/>
  <c r="NP10" i="82" s="1"/>
  <c r="NN7" i="82"/>
  <c r="NO7" i="82"/>
  <c r="NM7" i="82"/>
  <c r="NS10" i="62"/>
  <c r="NR10" i="62"/>
  <c r="NQ10" i="62"/>
  <c r="NO10" i="62"/>
  <c r="NN10" i="62"/>
  <c r="NM10" i="62"/>
  <c r="NS9" i="62"/>
  <c r="NR9" i="62"/>
  <c r="NQ9" i="62"/>
  <c r="NO9" i="62"/>
  <c r="NN9" i="62"/>
  <c r="NM9" i="62"/>
  <c r="NS8" i="62"/>
  <c r="NR8" i="62"/>
  <c r="NQ8" i="62"/>
  <c r="NO8" i="62"/>
  <c r="NN8" i="62"/>
  <c r="NM8" i="62"/>
  <c r="NS7" i="62"/>
  <c r="NR7" i="62"/>
  <c r="NQ7" i="62"/>
  <c r="NO7" i="62"/>
  <c r="NN7" i="62"/>
  <c r="NM7" i="62"/>
  <c r="NQ8" i="81"/>
  <c r="NR8" i="81"/>
  <c r="NS8" i="81"/>
  <c r="NT8" i="81" s="1"/>
  <c r="NQ9" i="81"/>
  <c r="NR9" i="81"/>
  <c r="NS9" i="81"/>
  <c r="NT9" i="81" s="1"/>
  <c r="NQ10" i="81"/>
  <c r="NR10" i="81"/>
  <c r="NS10" i="81"/>
  <c r="NT10" i="81" s="1"/>
  <c r="NR7" i="81"/>
  <c r="NS7" i="81"/>
  <c r="NT7" i="81" s="1"/>
  <c r="NQ7" i="81"/>
  <c r="NM8" i="81"/>
  <c r="NN8" i="81"/>
  <c r="NO8" i="81"/>
  <c r="NP8" i="81" s="1"/>
  <c r="NM9" i="81"/>
  <c r="NN9" i="81"/>
  <c r="NO9" i="81"/>
  <c r="NP9" i="81" s="1"/>
  <c r="NM10" i="81"/>
  <c r="NN10" i="81"/>
  <c r="NO10" i="81"/>
  <c r="NP10" i="81" s="1"/>
  <c r="NN7" i="81"/>
  <c r="NO7" i="81"/>
  <c r="NP7" i="81" s="1"/>
  <c r="NM7" i="81"/>
  <c r="F7" i="91"/>
  <c r="NP7" i="82"/>
  <c r="F10" i="92" l="1"/>
  <c r="F9" i="92"/>
  <c r="F8" i="92"/>
  <c r="F7" i="92"/>
  <c r="F10" i="91"/>
  <c r="F9" i="91"/>
  <c r="F8" i="91"/>
  <c r="IL8" i="62" l="1"/>
  <c r="IL9" i="62"/>
  <c r="IL10" i="62"/>
  <c r="IL7" i="62"/>
  <c r="IN10" i="88" l="1"/>
  <c r="IN9" i="88"/>
  <c r="IN8" i="88"/>
  <c r="IN7" i="88"/>
  <c r="HZ10" i="88"/>
  <c r="II10" i="88" s="1"/>
  <c r="HZ9" i="88"/>
  <c r="II9" i="88" s="1"/>
  <c r="HZ8" i="88"/>
  <c r="II8" i="88" s="1"/>
  <c r="HZ7" i="88"/>
  <c r="II7" i="88" s="1"/>
  <c r="HU10" i="88"/>
  <c r="ID10" i="88" s="1"/>
  <c r="HU9" i="88"/>
  <c r="ID9" i="88" s="1"/>
  <c r="HU8" i="88"/>
  <c r="ID8" i="88" s="1"/>
  <c r="HU7" i="88"/>
  <c r="ID7" i="88" s="1"/>
  <c r="HP10" i="88"/>
  <c r="HY10" i="88" s="1"/>
  <c r="HP9" i="88"/>
  <c r="HY9" i="88" s="1"/>
  <c r="HP8" i="88"/>
  <c r="HY8" i="88" s="1"/>
  <c r="HP7" i="88"/>
  <c r="HY7" i="88" s="1"/>
  <c r="HK10" i="88"/>
  <c r="HT10" i="88" s="1"/>
  <c r="HK9" i="88"/>
  <c r="HT9" i="88" s="1"/>
  <c r="HK8" i="88"/>
  <c r="HT8" i="88" s="1"/>
  <c r="HK7" i="88"/>
  <c r="HT7" i="88" s="1"/>
  <c r="HF10" i="88"/>
  <c r="HO10" i="88" s="1"/>
  <c r="HF9" i="88"/>
  <c r="HO9" i="88" s="1"/>
  <c r="HF8" i="88"/>
  <c r="HO8" i="88" s="1"/>
  <c r="HF7" i="88"/>
  <c r="HO7" i="88" s="1"/>
  <c r="HA10" i="88"/>
  <c r="HJ10" i="88" s="1"/>
  <c r="HA9" i="88"/>
  <c r="HJ9" i="88" s="1"/>
  <c r="HA8" i="88"/>
  <c r="HJ8" i="88" s="1"/>
  <c r="HA7" i="88"/>
  <c r="HJ7" i="88" s="1"/>
  <c r="GV10" i="88"/>
  <c r="HE10" i="88" s="1"/>
  <c r="GV9" i="88"/>
  <c r="HE9" i="88" s="1"/>
  <c r="GV8" i="88"/>
  <c r="HE8" i="88" s="1"/>
  <c r="GV7" i="88"/>
  <c r="HE7" i="88" s="1"/>
  <c r="GQ10" i="88"/>
  <c r="GZ10" i="88" s="1"/>
  <c r="GQ9" i="88"/>
  <c r="GZ9" i="88" s="1"/>
  <c r="GQ8" i="88"/>
  <c r="GZ8" i="88" s="1"/>
  <c r="GQ7" i="88"/>
  <c r="GZ7" i="88" s="1"/>
  <c r="GL10" i="88"/>
  <c r="GU10" i="88" s="1"/>
  <c r="GL9" i="88"/>
  <c r="GU9" i="88" s="1"/>
  <c r="GL8" i="88"/>
  <c r="GU8" i="88" s="1"/>
  <c r="GL7" i="88"/>
  <c r="GU7" i="88" s="1"/>
  <c r="GG10" i="88"/>
  <c r="GP10" i="88" s="1"/>
  <c r="GG9" i="88"/>
  <c r="GP9" i="88" s="1"/>
  <c r="GG8" i="88"/>
  <c r="GP8" i="88" s="1"/>
  <c r="GG7" i="88"/>
  <c r="GP7" i="88" s="1"/>
  <c r="GB10" i="88"/>
  <c r="GK10" i="88" s="1"/>
  <c r="GB9" i="88"/>
  <c r="GK9" i="88" s="1"/>
  <c r="GB8" i="88"/>
  <c r="GK8" i="88" s="1"/>
  <c r="GB7" i="88"/>
  <c r="GK7" i="88" s="1"/>
  <c r="FW10" i="88"/>
  <c r="GF10" i="88" s="1"/>
  <c r="FW9" i="88"/>
  <c r="GF9" i="88" s="1"/>
  <c r="FW8" i="88"/>
  <c r="GF8" i="88" s="1"/>
  <c r="FW7" i="88"/>
  <c r="GF7" i="88" s="1"/>
  <c r="FR10" i="88"/>
  <c r="GA10" i="88" s="1"/>
  <c r="FR9" i="88"/>
  <c r="GA9" i="88" s="1"/>
  <c r="FR8" i="88"/>
  <c r="GA8" i="88" s="1"/>
  <c r="FR7" i="88"/>
  <c r="GA7" i="88" s="1"/>
  <c r="FM10" i="88"/>
  <c r="FV10" i="88" s="1"/>
  <c r="FM9" i="88"/>
  <c r="FV9" i="88" s="1"/>
  <c r="FM8" i="88"/>
  <c r="FV8" i="88" s="1"/>
  <c r="FM7" i="88"/>
  <c r="FV7" i="88" s="1"/>
  <c r="FH10" i="88"/>
  <c r="FQ10" i="88" s="1"/>
  <c r="FH9" i="88"/>
  <c r="FQ9" i="88" s="1"/>
  <c r="FH8" i="88"/>
  <c r="FQ8" i="88" s="1"/>
  <c r="FH7" i="88"/>
  <c r="FQ7" i="88" s="1"/>
  <c r="FC10" i="88"/>
  <c r="FL10" i="88" s="1"/>
  <c r="FC9" i="88"/>
  <c r="FL9" i="88" s="1"/>
  <c r="FC8" i="88"/>
  <c r="FL8" i="88" s="1"/>
  <c r="FC7" i="88"/>
  <c r="FL7" i="88" s="1"/>
  <c r="EX10" i="88"/>
  <c r="FG10" i="88" s="1"/>
  <c r="EX9" i="88"/>
  <c r="FG9" i="88" s="1"/>
  <c r="EX8" i="88"/>
  <c r="FG8" i="88" s="1"/>
  <c r="EX7" i="88"/>
  <c r="FG7" i="88" s="1"/>
  <c r="ES10" i="88"/>
  <c r="FB10" i="88" s="1"/>
  <c r="ES9" i="88"/>
  <c r="FB9" i="88" s="1"/>
  <c r="ES8" i="88"/>
  <c r="FB8" i="88" s="1"/>
  <c r="ES7" i="88"/>
  <c r="FB7" i="88" s="1"/>
  <c r="EN10" i="88"/>
  <c r="EW10" i="88" s="1"/>
  <c r="EN9" i="88"/>
  <c r="EW9" i="88" s="1"/>
  <c r="EN8" i="88"/>
  <c r="EW8" i="88" s="1"/>
  <c r="EN7" i="88"/>
  <c r="EW7" i="88" s="1"/>
  <c r="EI10" i="88"/>
  <c r="ER10" i="88" s="1"/>
  <c r="EI9" i="88"/>
  <c r="ER9" i="88" s="1"/>
  <c r="EI8" i="88"/>
  <c r="ER8" i="88" s="1"/>
  <c r="EI7" i="88"/>
  <c r="ER7" i="88" s="1"/>
  <c r="ED10" i="88"/>
  <c r="EM10" i="88" s="1"/>
  <c r="ED9" i="88"/>
  <c r="EM9" i="88" s="1"/>
  <c r="ED8" i="88"/>
  <c r="EM8" i="88" s="1"/>
  <c r="ED7" i="88"/>
  <c r="EM7" i="88" s="1"/>
  <c r="DY10" i="88"/>
  <c r="EH10" i="88" s="1"/>
  <c r="DY9" i="88"/>
  <c r="EH9" i="88" s="1"/>
  <c r="DY8" i="88"/>
  <c r="EH8" i="88" s="1"/>
  <c r="DY7" i="88"/>
  <c r="EH7" i="88" s="1"/>
  <c r="DT10" i="88"/>
  <c r="EC10" i="88" s="1"/>
  <c r="DT9" i="88"/>
  <c r="EC9" i="88" s="1"/>
  <c r="DT8" i="88"/>
  <c r="EC8" i="88" s="1"/>
  <c r="DT7" i="88"/>
  <c r="EC7" i="88" s="1"/>
  <c r="DO10" i="88"/>
  <c r="DX10" i="88" s="1"/>
  <c r="DO9" i="88"/>
  <c r="DX9" i="88" s="1"/>
  <c r="DO8" i="88"/>
  <c r="DX8" i="88" s="1"/>
  <c r="DO7" i="88"/>
  <c r="DX7" i="88" s="1"/>
  <c r="DJ10" i="88"/>
  <c r="DS10" i="88" s="1"/>
  <c r="DJ9" i="88"/>
  <c r="DS9" i="88" s="1"/>
  <c r="DJ8" i="88"/>
  <c r="DS8" i="88" s="1"/>
  <c r="DJ7" i="88"/>
  <c r="DS7" i="88" s="1"/>
  <c r="DE10" i="88"/>
  <c r="DN10" i="88" s="1"/>
  <c r="DE9" i="88"/>
  <c r="DN9" i="88" s="1"/>
  <c r="DE8" i="88"/>
  <c r="DN8" i="88" s="1"/>
  <c r="DE7" i="88"/>
  <c r="DN7" i="88" s="1"/>
  <c r="CZ10" i="88"/>
  <c r="DI10" i="88" s="1"/>
  <c r="CZ9" i="88"/>
  <c r="DI9" i="88" s="1"/>
  <c r="CZ8" i="88"/>
  <c r="DI8" i="88" s="1"/>
  <c r="CZ7" i="88"/>
  <c r="DI7" i="88" s="1"/>
  <c r="CU10" i="88"/>
  <c r="DD10" i="88" s="1"/>
  <c r="CU9" i="88"/>
  <c r="DD9" i="88" s="1"/>
  <c r="CU8" i="88"/>
  <c r="DD8" i="88" s="1"/>
  <c r="CU7" i="88"/>
  <c r="DD7" i="88" s="1"/>
  <c r="CP10" i="88"/>
  <c r="CY10" i="88" s="1"/>
  <c r="CP9" i="88"/>
  <c r="CY9" i="88" s="1"/>
  <c r="CP8" i="88"/>
  <c r="CY8" i="88" s="1"/>
  <c r="CP7" i="88"/>
  <c r="CY7" i="88" s="1"/>
  <c r="CK10" i="88"/>
  <c r="CT10" i="88" s="1"/>
  <c r="CK9" i="88"/>
  <c r="CT9" i="88" s="1"/>
  <c r="CK8" i="88"/>
  <c r="CT8" i="88" s="1"/>
  <c r="CK7" i="88"/>
  <c r="CT7" i="88" s="1"/>
  <c r="CF10" i="88"/>
  <c r="CO10" i="88" s="1"/>
  <c r="CF9" i="88"/>
  <c r="CO9" i="88" s="1"/>
  <c r="CF8" i="88"/>
  <c r="CO8" i="88" s="1"/>
  <c r="CF7" i="88"/>
  <c r="CO7" i="88" s="1"/>
  <c r="CA10" i="88"/>
  <c r="CJ10" i="88" s="1"/>
  <c r="CA9" i="88"/>
  <c r="CJ9" i="88" s="1"/>
  <c r="CA8" i="88"/>
  <c r="CJ8" i="88" s="1"/>
  <c r="CA7" i="88"/>
  <c r="CJ7" i="88" s="1"/>
  <c r="BV10" i="88"/>
  <c r="CE10" i="88" s="1"/>
  <c r="BV9" i="88"/>
  <c r="CE9" i="88" s="1"/>
  <c r="BV8" i="88"/>
  <c r="CE8" i="88" s="1"/>
  <c r="BV7" i="88"/>
  <c r="CE7" i="88" s="1"/>
  <c r="BQ10" i="88"/>
  <c r="BZ10" i="88" s="1"/>
  <c r="BQ9" i="88"/>
  <c r="BZ9" i="88" s="1"/>
  <c r="BQ8" i="88"/>
  <c r="BZ8" i="88" s="1"/>
  <c r="BQ7" i="88"/>
  <c r="BZ7" i="88" s="1"/>
  <c r="BL10" i="88"/>
  <c r="BU10" i="88" s="1"/>
  <c r="BL9" i="88"/>
  <c r="BU9" i="88" s="1"/>
  <c r="BL8" i="88"/>
  <c r="BU8" i="88" s="1"/>
  <c r="BL7" i="88"/>
  <c r="BU7" i="88" s="1"/>
  <c r="BG10" i="88"/>
  <c r="BP10" i="88" s="1"/>
  <c r="BG9" i="88"/>
  <c r="BP9" i="88" s="1"/>
  <c r="BG8" i="88"/>
  <c r="BP8" i="88" s="1"/>
  <c r="BG7" i="88"/>
  <c r="BP7" i="88" s="1"/>
  <c r="BB10" i="88"/>
  <c r="BK10" i="88" s="1"/>
  <c r="BB9" i="88"/>
  <c r="BK9" i="88" s="1"/>
  <c r="BB8" i="88"/>
  <c r="BK8" i="88" s="1"/>
  <c r="BB7" i="88"/>
  <c r="BK7" i="88" s="1"/>
  <c r="AW10" i="88"/>
  <c r="BF10" i="88" s="1"/>
  <c r="AW9" i="88"/>
  <c r="BF9" i="88" s="1"/>
  <c r="AW8" i="88"/>
  <c r="BF8" i="88" s="1"/>
  <c r="AW7" i="88"/>
  <c r="BF7" i="88" s="1"/>
  <c r="AR10" i="88"/>
  <c r="BA10" i="88" s="1"/>
  <c r="AR9" i="88"/>
  <c r="BA9" i="88" s="1"/>
  <c r="AR8" i="88"/>
  <c r="BA8" i="88" s="1"/>
  <c r="AR7" i="88"/>
  <c r="BA7" i="88" s="1"/>
  <c r="AM10" i="88"/>
  <c r="AV10" i="88" s="1"/>
  <c r="AM9" i="88"/>
  <c r="AV9" i="88" s="1"/>
  <c r="AM8" i="88"/>
  <c r="AV8" i="88" s="1"/>
  <c r="AM7" i="88"/>
  <c r="AV7" i="88" s="1"/>
  <c r="AH10" i="88"/>
  <c r="AQ10" i="88" s="1"/>
  <c r="AH9" i="88"/>
  <c r="AQ9" i="88" s="1"/>
  <c r="AH8" i="88"/>
  <c r="AQ8" i="88" s="1"/>
  <c r="AH7" i="88"/>
  <c r="AQ7" i="88" s="1"/>
  <c r="AC10" i="88"/>
  <c r="AL10" i="88" s="1"/>
  <c r="AC9" i="88"/>
  <c r="AL9" i="88" s="1"/>
  <c r="AC8" i="88"/>
  <c r="AL8" i="88" s="1"/>
  <c r="AC7" i="88"/>
  <c r="AL7" i="88" s="1"/>
  <c r="X10" i="88"/>
  <c r="AG10" i="88" s="1"/>
  <c r="X9" i="88"/>
  <c r="AG9" i="88" s="1"/>
  <c r="X8" i="88"/>
  <c r="AG8" i="88" s="1"/>
  <c r="X7" i="88"/>
  <c r="AG7" i="88" s="1"/>
  <c r="S10" i="88"/>
  <c r="AB10" i="88" s="1"/>
  <c r="S9" i="88"/>
  <c r="AB9" i="88" s="1"/>
  <c r="S8" i="88"/>
  <c r="AB8" i="88" s="1"/>
  <c r="S7" i="88"/>
  <c r="AB7" i="88" s="1"/>
  <c r="N10" i="88"/>
  <c r="W10" i="88" s="1"/>
  <c r="N9" i="88"/>
  <c r="W9" i="88" s="1"/>
  <c r="N8" i="88"/>
  <c r="W8" i="88" s="1"/>
  <c r="N7" i="88"/>
  <c r="W7" i="88" s="1"/>
  <c r="I10" i="88"/>
  <c r="R10" i="88" s="1"/>
  <c r="I9" i="88"/>
  <c r="R9" i="88" s="1"/>
  <c r="I8" i="88"/>
  <c r="R8" i="88" s="1"/>
  <c r="I7" i="88"/>
  <c r="R7" i="88" s="1"/>
  <c r="E10" i="88"/>
  <c r="M10" i="88" s="1"/>
  <c r="E9" i="88"/>
  <c r="M9" i="88" s="1"/>
  <c r="E8" i="88"/>
  <c r="M8" i="88" s="1"/>
  <c r="E7" i="88"/>
  <c r="M7" i="88" s="1"/>
  <c r="IH10" i="62" l="1"/>
  <c r="IM10" i="62" s="1"/>
  <c r="IH9" i="62"/>
  <c r="IQ9" i="62" s="1"/>
  <c r="IH8" i="62"/>
  <c r="IQ8" i="62" s="1"/>
  <c r="IH7" i="62"/>
  <c r="IP7" i="62"/>
  <c r="IO7" i="62"/>
  <c r="IN7" i="62"/>
  <c r="IM9" i="62" l="1"/>
  <c r="IV9" i="62" s="1"/>
  <c r="IM7" i="62"/>
  <c r="IR7" i="62" s="1"/>
  <c r="IQ10" i="62"/>
  <c r="IV10" i="62"/>
  <c r="IR10" i="62"/>
  <c r="IM8" i="62"/>
  <c r="IQ7" i="62"/>
  <c r="IR9" i="62" l="1"/>
  <c r="IW9" i="62" s="1"/>
  <c r="IV7" i="62"/>
  <c r="JA10" i="62"/>
  <c r="IW10" i="62"/>
  <c r="JA7" i="62"/>
  <c r="IW7" i="62"/>
  <c r="IV8" i="62"/>
  <c r="IR8" i="62"/>
  <c r="JA9" i="62" l="1"/>
  <c r="JF7" i="62"/>
  <c r="JB7" i="62"/>
  <c r="JF9" i="62"/>
  <c r="JB9" i="62"/>
  <c r="IW8" i="62"/>
  <c r="JA8" i="62"/>
  <c r="JF10" i="62"/>
  <c r="JB10" i="62"/>
  <c r="JK10" i="62" l="1"/>
  <c r="JG10" i="62"/>
  <c r="JK7" i="62"/>
  <c r="JG7" i="62"/>
  <c r="JK9" i="62"/>
  <c r="JG9" i="62"/>
  <c r="JB8" i="62"/>
  <c r="JF8" i="62"/>
  <c r="JP9" i="62" l="1"/>
  <c r="JL9" i="62"/>
  <c r="JP7" i="62"/>
  <c r="JL7" i="62"/>
  <c r="JL10" i="62"/>
  <c r="JP10" i="62"/>
  <c r="JK8" i="62"/>
  <c r="JG8" i="62"/>
  <c r="JU7" i="62" l="1"/>
  <c r="JQ7" i="62"/>
  <c r="JZ7" i="62" s="1"/>
  <c r="JU9" i="62"/>
  <c r="JQ9" i="62"/>
  <c r="JZ9" i="62" s="1"/>
  <c r="JQ10" i="62"/>
  <c r="JZ10" i="62" s="1"/>
  <c r="JU10" i="62"/>
  <c r="JP8" i="62"/>
  <c r="JL8" i="62"/>
  <c r="JV9" i="62" l="1"/>
  <c r="JV7" i="62"/>
  <c r="KE7" i="62" s="1"/>
  <c r="JV10" i="62"/>
  <c r="JU8" i="62"/>
  <c r="JQ8" i="62"/>
  <c r="JZ8" i="62" s="1"/>
  <c r="IJ8" i="88"/>
  <c r="IS8" i="88" s="1"/>
  <c r="IJ9" i="88"/>
  <c r="IS9" i="88" s="1"/>
  <c r="IJ10" i="88"/>
  <c r="IS10" i="88" s="1"/>
  <c r="IJ7" i="88"/>
  <c r="IS7" i="88" s="1"/>
  <c r="HX8" i="75"/>
  <c r="HS8" i="75" s="1"/>
  <c r="HN8" i="75" s="1"/>
  <c r="HI8" i="75" s="1"/>
  <c r="HD8" i="75" s="1"/>
  <c r="GY8" i="75" s="1"/>
  <c r="GT8" i="75" s="1"/>
  <c r="GO8" i="75" s="1"/>
  <c r="GJ8" i="75" s="1"/>
  <c r="GE8" i="75" s="1"/>
  <c r="FZ8" i="75" s="1"/>
  <c r="FU8" i="75" s="1"/>
  <c r="HX9" i="75"/>
  <c r="HS9" i="75" s="1"/>
  <c r="HN9" i="75" s="1"/>
  <c r="HI9" i="75" s="1"/>
  <c r="HD9" i="75" s="1"/>
  <c r="GY9" i="75" s="1"/>
  <c r="GT9" i="75" s="1"/>
  <c r="GO9" i="75" s="1"/>
  <c r="GJ9" i="75" s="1"/>
  <c r="GE9" i="75" s="1"/>
  <c r="FZ9" i="75" s="1"/>
  <c r="FU9" i="75" s="1"/>
  <c r="HX10" i="75"/>
  <c r="HS10" i="75" s="1"/>
  <c r="HN10" i="75" s="1"/>
  <c r="HI10" i="75" s="1"/>
  <c r="HD10" i="75" s="1"/>
  <c r="GY10" i="75" s="1"/>
  <c r="GT10" i="75" s="1"/>
  <c r="GO10" i="75" s="1"/>
  <c r="GJ10" i="75" s="1"/>
  <c r="GE10" i="75" s="1"/>
  <c r="FZ10" i="75" s="1"/>
  <c r="FU10" i="75" s="1"/>
  <c r="HX7" i="75"/>
  <c r="HS7" i="75" s="1"/>
  <c r="HN7" i="75" s="1"/>
  <c r="HI7" i="75" s="1"/>
  <c r="HD7" i="75" s="1"/>
  <c r="GY7" i="75" s="1"/>
  <c r="GT7" i="75" s="1"/>
  <c r="GO7" i="75" s="1"/>
  <c r="GJ7" i="75" s="1"/>
  <c r="GE7" i="75" s="1"/>
  <c r="FZ7" i="75" s="1"/>
  <c r="FU7" i="75" s="1"/>
  <c r="HX8" i="62"/>
  <c r="HS8" i="62" s="1"/>
  <c r="HN8" i="62" s="1"/>
  <c r="HI8" i="62" s="1"/>
  <c r="HD8" i="62" s="1"/>
  <c r="GY8" i="62" s="1"/>
  <c r="GT8" i="62" s="1"/>
  <c r="GO8" i="62" s="1"/>
  <c r="GJ8" i="62" s="1"/>
  <c r="GE8" i="62" s="1"/>
  <c r="FZ8" i="62" s="1"/>
  <c r="HX9" i="62"/>
  <c r="HS9" i="62" s="1"/>
  <c r="HN9" i="62" s="1"/>
  <c r="HI9" i="62" s="1"/>
  <c r="HD9" i="62" s="1"/>
  <c r="GY9" i="62" s="1"/>
  <c r="GT9" i="62" s="1"/>
  <c r="GO9" i="62" s="1"/>
  <c r="GJ9" i="62" s="1"/>
  <c r="GE9" i="62" s="1"/>
  <c r="HX10" i="62"/>
  <c r="HS10" i="62" s="1"/>
  <c r="HN10" i="62" s="1"/>
  <c r="HI10" i="62" s="1"/>
  <c r="HD10" i="62" s="1"/>
  <c r="GY10" i="62" s="1"/>
  <c r="GT10" i="62" s="1"/>
  <c r="GO10" i="62" s="1"/>
  <c r="GJ10" i="62" s="1"/>
  <c r="GE10" i="62" s="1"/>
  <c r="FZ10" i="62" s="1"/>
  <c r="HX7" i="62"/>
  <c r="HS7" i="62" s="1"/>
  <c r="HN7" i="62" s="1"/>
  <c r="HI7" i="62" s="1"/>
  <c r="HD7" i="62" s="1"/>
  <c r="GY7" i="62" s="1"/>
  <c r="GT7" i="62" s="1"/>
  <c r="GO7" i="62" s="1"/>
  <c r="GJ7" i="62" s="1"/>
  <c r="GE7" i="62" s="1"/>
  <c r="FZ7" i="62" s="1"/>
  <c r="IH9" i="75"/>
  <c r="IM9" i="75" s="1"/>
  <c r="IH10" i="75"/>
  <c r="IM10" i="75" s="1"/>
  <c r="DD7" i="62"/>
  <c r="KA7" i="62" l="1"/>
  <c r="KE9" i="62"/>
  <c r="KA9" i="62"/>
  <c r="KA10" i="62"/>
  <c r="KE10" i="62"/>
  <c r="JV8" i="62"/>
  <c r="IG8" i="75"/>
  <c r="IG9" i="75"/>
  <c r="IQ9" i="75"/>
  <c r="IR9" i="75"/>
  <c r="JA9" i="75" s="1"/>
  <c r="IQ10" i="75"/>
  <c r="IR10" i="75"/>
  <c r="JA10" i="75" s="1"/>
  <c r="FU7" i="62"/>
  <c r="GI7" i="62"/>
  <c r="FU10" i="62"/>
  <c r="GI10" i="62"/>
  <c r="GN9" i="62"/>
  <c r="FZ9" i="62"/>
  <c r="GI8" i="62"/>
  <c r="FU8" i="62"/>
  <c r="IO7" i="88"/>
  <c r="IO10" i="88"/>
  <c r="IO9" i="88"/>
  <c r="IO8" i="88"/>
  <c r="GD8" i="75"/>
  <c r="FP8" i="75"/>
  <c r="GD10" i="75"/>
  <c r="FP10" i="75"/>
  <c r="GD7" i="75"/>
  <c r="FP7" i="75"/>
  <c r="FY7" i="75" s="1"/>
  <c r="GD9" i="75"/>
  <c r="FP9" i="75"/>
  <c r="FY9" i="75" s="1"/>
  <c r="IL10" i="75"/>
  <c r="IL9" i="75"/>
  <c r="IG7" i="75"/>
  <c r="IH8" i="75"/>
  <c r="IM8" i="75" s="1"/>
  <c r="GI7" i="75"/>
  <c r="GI8" i="75"/>
  <c r="GI9" i="75"/>
  <c r="GI10" i="75"/>
  <c r="GN7" i="62"/>
  <c r="KF7" i="62" l="1"/>
  <c r="KJ7" i="62"/>
  <c r="KF10" i="62"/>
  <c r="KJ10" i="62"/>
  <c r="KJ9" i="62"/>
  <c r="KF9" i="62"/>
  <c r="KE8" i="62"/>
  <c r="KA8" i="62"/>
  <c r="IV9" i="75"/>
  <c r="IW9" i="75"/>
  <c r="IV10" i="75"/>
  <c r="IW10" i="75"/>
  <c r="IX7" i="88"/>
  <c r="IT7" i="88"/>
  <c r="IX8" i="88"/>
  <c r="IT8" i="88"/>
  <c r="IT9" i="88"/>
  <c r="IX9" i="88"/>
  <c r="IX10" i="88"/>
  <c r="IT10" i="88"/>
  <c r="IQ8" i="75"/>
  <c r="IR8" i="75"/>
  <c r="JA8" i="75" s="1"/>
  <c r="FK9" i="75"/>
  <c r="FT9" i="75" s="1"/>
  <c r="GD8" i="62"/>
  <c r="FP8" i="62"/>
  <c r="FP10" i="62"/>
  <c r="GD10" i="62"/>
  <c r="GD7" i="62"/>
  <c r="FP7" i="62"/>
  <c r="FU9" i="62"/>
  <c r="GI9" i="62"/>
  <c r="IL8" i="75"/>
  <c r="FY8" i="75"/>
  <c r="FK8" i="75"/>
  <c r="FK7" i="75"/>
  <c r="FT7" i="75" s="1"/>
  <c r="FY10" i="75"/>
  <c r="FK10" i="75"/>
  <c r="IH7" i="75"/>
  <c r="GN10" i="75"/>
  <c r="GN9" i="75"/>
  <c r="GN8" i="75"/>
  <c r="GN7" i="75"/>
  <c r="GN8" i="62"/>
  <c r="GN10" i="62"/>
  <c r="GS9" i="62"/>
  <c r="GS7" i="62"/>
  <c r="KK10" i="62" l="1"/>
  <c r="KO10" i="62"/>
  <c r="KO9" i="62"/>
  <c r="KK9" i="62"/>
  <c r="KO7" i="62"/>
  <c r="KK7" i="62"/>
  <c r="KJ8" i="62"/>
  <c r="KF8" i="62"/>
  <c r="JF9" i="75"/>
  <c r="JB9" i="75"/>
  <c r="JB10" i="75"/>
  <c r="JF10" i="75"/>
  <c r="JC8" i="88"/>
  <c r="IY8" i="88"/>
  <c r="JC10" i="88"/>
  <c r="IY10" i="88"/>
  <c r="JC9" i="88"/>
  <c r="IY9" i="88"/>
  <c r="JC7" i="88"/>
  <c r="IY7" i="88"/>
  <c r="IV8" i="75"/>
  <c r="IW8" i="75"/>
  <c r="FF9" i="75"/>
  <c r="FO9" i="75" s="1"/>
  <c r="FK7" i="62"/>
  <c r="FY7" i="62"/>
  <c r="FP9" i="62"/>
  <c r="GD9" i="62"/>
  <c r="FK8" i="62"/>
  <c r="FY8" i="62"/>
  <c r="FY10" i="62"/>
  <c r="FK10" i="62"/>
  <c r="FF7" i="75"/>
  <c r="FA7" i="75" s="1"/>
  <c r="IL7" i="75"/>
  <c r="IM7" i="75"/>
  <c r="FT10" i="75"/>
  <c r="FF10" i="75"/>
  <c r="FT8" i="75"/>
  <c r="FF8" i="75"/>
  <c r="GS7" i="75"/>
  <c r="GS8" i="75"/>
  <c r="GS9" i="75"/>
  <c r="GS10" i="75"/>
  <c r="GS10" i="62"/>
  <c r="GX7" i="62"/>
  <c r="GS8" i="62"/>
  <c r="GX9" i="62"/>
  <c r="KT7" i="62" l="1"/>
  <c r="KP7" i="62"/>
  <c r="KU7" i="62" s="1"/>
  <c r="KT9" i="62"/>
  <c r="KP9" i="62"/>
  <c r="KP10" i="62"/>
  <c r="KT10" i="62"/>
  <c r="KO8" i="62"/>
  <c r="KK8" i="62"/>
  <c r="JG10" i="75"/>
  <c r="JP10" i="75" s="1"/>
  <c r="JK10" i="75"/>
  <c r="JK9" i="75"/>
  <c r="JG9" i="75"/>
  <c r="JP9" i="75" s="1"/>
  <c r="JH7" i="88"/>
  <c r="JD7" i="88"/>
  <c r="JH10" i="88"/>
  <c r="JD10" i="88"/>
  <c r="JH9" i="88"/>
  <c r="JD9" i="88"/>
  <c r="JH8" i="88"/>
  <c r="JD8" i="88"/>
  <c r="FA9" i="75"/>
  <c r="FJ9" i="75" s="1"/>
  <c r="JF8" i="75"/>
  <c r="JB8" i="75"/>
  <c r="FO7" i="75"/>
  <c r="IQ7" i="75"/>
  <c r="IR7" i="75"/>
  <c r="JA7" i="75" s="1"/>
  <c r="FT7" i="62"/>
  <c r="FF7" i="62"/>
  <c r="FF10" i="62"/>
  <c r="FT10" i="62"/>
  <c r="FK9" i="62"/>
  <c r="FY9" i="62"/>
  <c r="FT8" i="62"/>
  <c r="FF8" i="62"/>
  <c r="FO8" i="75"/>
  <c r="FA8" i="75"/>
  <c r="FO10" i="75"/>
  <c r="FA10" i="75"/>
  <c r="FJ7" i="75"/>
  <c r="EV7" i="75"/>
  <c r="GX10" i="75"/>
  <c r="GX9" i="75"/>
  <c r="GX8" i="75"/>
  <c r="GX7" i="75"/>
  <c r="HC7" i="62"/>
  <c r="GX10" i="62"/>
  <c r="GX8" i="62"/>
  <c r="HC9" i="62"/>
  <c r="LD7" i="62" l="1"/>
  <c r="KZ7" i="62"/>
  <c r="EV9" i="75"/>
  <c r="KY9" i="62"/>
  <c r="KU9" i="62"/>
  <c r="KU10" i="62"/>
  <c r="KY10" i="62"/>
  <c r="KY7" i="62"/>
  <c r="KT8" i="62"/>
  <c r="KP8" i="62"/>
  <c r="JL9" i="75"/>
  <c r="JL10" i="75"/>
  <c r="JM9" i="88"/>
  <c r="JI9" i="88"/>
  <c r="JM10" i="88"/>
  <c r="JI10" i="88"/>
  <c r="JI7" i="88"/>
  <c r="JM7" i="88"/>
  <c r="JM8" i="88"/>
  <c r="JI8" i="88"/>
  <c r="JK8" i="75"/>
  <c r="JG8" i="75"/>
  <c r="JP8" i="75" s="1"/>
  <c r="IV7" i="75"/>
  <c r="IW7" i="75"/>
  <c r="FF9" i="62"/>
  <c r="FT9" i="62"/>
  <c r="FO7" i="62"/>
  <c r="FA7" i="62"/>
  <c r="FO8" i="62"/>
  <c r="FA8" i="62"/>
  <c r="FO10" i="62"/>
  <c r="FA10" i="62"/>
  <c r="FJ8" i="75"/>
  <c r="EV8" i="75"/>
  <c r="FJ10" i="75"/>
  <c r="EV10" i="75"/>
  <c r="FE7" i="75"/>
  <c r="EQ7" i="75"/>
  <c r="FE9" i="75"/>
  <c r="EQ9" i="75"/>
  <c r="HC7" i="75"/>
  <c r="HC8" i="75"/>
  <c r="HC9" i="75"/>
  <c r="HC10" i="75"/>
  <c r="HC8" i="62"/>
  <c r="HH7" i="62"/>
  <c r="HC10" i="62"/>
  <c r="HH9" i="62"/>
  <c r="LI7" i="62" l="1"/>
  <c r="LE7" i="62"/>
  <c r="KZ10" i="62"/>
  <c r="LD10" i="62"/>
  <c r="LD9" i="62"/>
  <c r="KZ9" i="62"/>
  <c r="KY8" i="62"/>
  <c r="KU8" i="62"/>
  <c r="JU9" i="75"/>
  <c r="JQ9" i="75"/>
  <c r="JU10" i="75"/>
  <c r="JQ10" i="75"/>
  <c r="JR7" i="88"/>
  <c r="JN7" i="88"/>
  <c r="JR10" i="88"/>
  <c r="JN10" i="88"/>
  <c r="JR8" i="88"/>
  <c r="JN8" i="88"/>
  <c r="JR9" i="88"/>
  <c r="JN9" i="88"/>
  <c r="JL8" i="75"/>
  <c r="JF7" i="75"/>
  <c r="JB7" i="75"/>
  <c r="FJ7" i="62"/>
  <c r="EV7" i="62"/>
  <c r="FO9" i="62"/>
  <c r="FA9" i="62"/>
  <c r="FJ8" i="62"/>
  <c r="EV8" i="62"/>
  <c r="EV10" i="62"/>
  <c r="FJ10" i="62"/>
  <c r="FE8" i="75"/>
  <c r="EQ8" i="75"/>
  <c r="FE10" i="75"/>
  <c r="EQ10" i="75"/>
  <c r="EZ7" i="75"/>
  <c r="EL7" i="75"/>
  <c r="EZ9" i="75"/>
  <c r="EL9" i="75"/>
  <c r="HH10" i="75"/>
  <c r="HH9" i="75"/>
  <c r="HH8" i="75"/>
  <c r="HH7" i="75"/>
  <c r="HH8" i="62"/>
  <c r="HM9" i="62"/>
  <c r="HM7" i="62"/>
  <c r="HH10" i="62"/>
  <c r="LN7" i="62" l="1"/>
  <c r="LJ7" i="62"/>
  <c r="LI9" i="62"/>
  <c r="LE9" i="62"/>
  <c r="LE10" i="62"/>
  <c r="LI10" i="62"/>
  <c r="LD8" i="62"/>
  <c r="KZ8" i="62"/>
  <c r="JW8" i="88"/>
  <c r="JS8" i="88"/>
  <c r="JW10" i="88"/>
  <c r="JS10" i="88"/>
  <c r="JW7" i="88"/>
  <c r="JS7" i="88"/>
  <c r="JW9" i="88"/>
  <c r="JS9" i="88"/>
  <c r="JZ9" i="75"/>
  <c r="JV9" i="75"/>
  <c r="JU8" i="75"/>
  <c r="JQ8" i="75"/>
  <c r="JZ10" i="75"/>
  <c r="JV10" i="75"/>
  <c r="JK7" i="75"/>
  <c r="JG7" i="75"/>
  <c r="JP7" i="75" s="1"/>
  <c r="EV9" i="62"/>
  <c r="FJ9" i="62"/>
  <c r="FE10" i="62"/>
  <c r="EQ10" i="62"/>
  <c r="FE7" i="62"/>
  <c r="EQ7" i="62"/>
  <c r="EQ8" i="62"/>
  <c r="FE8" i="62"/>
  <c r="EL10" i="75"/>
  <c r="EZ10" i="75"/>
  <c r="EZ8" i="75"/>
  <c r="EL8" i="75"/>
  <c r="EU9" i="75"/>
  <c r="EG9" i="75"/>
  <c r="EU7" i="75"/>
  <c r="EG7" i="75"/>
  <c r="HM7" i="75"/>
  <c r="HM8" i="75"/>
  <c r="HM9" i="75"/>
  <c r="HM10" i="75"/>
  <c r="HR7" i="62"/>
  <c r="HR9" i="62"/>
  <c r="HM10" i="62"/>
  <c r="HM8" i="62"/>
  <c r="LS7" i="62" l="1"/>
  <c r="LO7" i="62"/>
  <c r="LJ10" i="62"/>
  <c r="LN10" i="62"/>
  <c r="LN9" i="62"/>
  <c r="LJ9" i="62"/>
  <c r="LI8" i="62"/>
  <c r="LE8" i="62"/>
  <c r="KA9" i="75"/>
  <c r="KE9" i="75"/>
  <c r="KE10" i="75"/>
  <c r="KA10" i="75"/>
  <c r="KB10" i="88"/>
  <c r="JX10" i="88"/>
  <c r="KB7" i="88"/>
  <c r="JX7" i="88"/>
  <c r="KB9" i="88"/>
  <c r="JX9" i="88"/>
  <c r="KB8" i="88"/>
  <c r="JX8" i="88"/>
  <c r="JV8" i="75"/>
  <c r="JZ8" i="75"/>
  <c r="JL7" i="75"/>
  <c r="EZ7" i="62"/>
  <c r="EL7" i="62"/>
  <c r="EZ10" i="62"/>
  <c r="EL10" i="62"/>
  <c r="EZ8" i="62"/>
  <c r="EL8" i="62"/>
  <c r="FE9" i="62"/>
  <c r="EQ9" i="62"/>
  <c r="EU10" i="75"/>
  <c r="EG10" i="75"/>
  <c r="EU8" i="75"/>
  <c r="EG8" i="75"/>
  <c r="EP7" i="75"/>
  <c r="EB7" i="75"/>
  <c r="EP9" i="75"/>
  <c r="EB9" i="75"/>
  <c r="HR10" i="75"/>
  <c r="HR9" i="75"/>
  <c r="HR8" i="75"/>
  <c r="HR7" i="75"/>
  <c r="HR8" i="62"/>
  <c r="HW7" i="62"/>
  <c r="HW9" i="62"/>
  <c r="HR10" i="62"/>
  <c r="LX7" i="62" l="1"/>
  <c r="LT7" i="62"/>
  <c r="MC7" i="62" s="1"/>
  <c r="LS9" i="62"/>
  <c r="LO9" i="62"/>
  <c r="LS10" i="62"/>
  <c r="LO10" i="62"/>
  <c r="LN8" i="62"/>
  <c r="LJ8" i="62"/>
  <c r="KJ10" i="75"/>
  <c r="KF10" i="75"/>
  <c r="KJ9" i="75"/>
  <c r="KF9" i="75"/>
  <c r="KG9" i="88"/>
  <c r="KC9" i="88"/>
  <c r="KG8" i="88"/>
  <c r="KC8" i="88"/>
  <c r="KG7" i="88"/>
  <c r="KC7" i="88"/>
  <c r="KG10" i="88"/>
  <c r="KC10" i="88"/>
  <c r="KA8" i="75"/>
  <c r="KE8" i="75"/>
  <c r="JU7" i="75"/>
  <c r="JQ7" i="75"/>
  <c r="EU7" i="62"/>
  <c r="EG7" i="62"/>
  <c r="EL9" i="62"/>
  <c r="EZ9" i="62"/>
  <c r="EG8" i="62"/>
  <c r="EU8" i="62"/>
  <c r="EU10" i="62"/>
  <c r="EG10" i="62"/>
  <c r="EB8" i="75"/>
  <c r="EP8" i="75"/>
  <c r="EP10" i="75"/>
  <c r="EB10" i="75"/>
  <c r="EK9" i="75"/>
  <c r="DW9" i="75"/>
  <c r="EK7" i="75"/>
  <c r="DW7" i="75"/>
  <c r="HW7" i="75"/>
  <c r="HW8" i="75"/>
  <c r="HW9" i="75"/>
  <c r="HW10" i="75"/>
  <c r="IB7" i="62"/>
  <c r="IB9" i="62"/>
  <c r="HW10" i="62"/>
  <c r="HW8" i="62"/>
  <c r="LY7" i="62" l="1"/>
  <c r="LX9" i="62"/>
  <c r="LT9" i="62"/>
  <c r="MC9" i="62" s="1"/>
  <c r="LT10" i="62"/>
  <c r="MC10" i="62" s="1"/>
  <c r="LX10" i="62"/>
  <c r="LS8" i="62"/>
  <c r="LO8" i="62"/>
  <c r="KO9" i="75"/>
  <c r="KK9" i="75"/>
  <c r="KO10" i="75"/>
  <c r="KK10" i="75"/>
  <c r="KL9" i="88"/>
  <c r="KH9" i="88"/>
  <c r="KH10" i="88"/>
  <c r="KL10" i="88"/>
  <c r="KL8" i="88"/>
  <c r="KH8" i="88"/>
  <c r="KL7" i="88"/>
  <c r="KH7" i="88"/>
  <c r="KF8" i="75"/>
  <c r="KJ8" i="75"/>
  <c r="JZ7" i="75"/>
  <c r="JV7" i="75"/>
  <c r="EB7" i="62"/>
  <c r="EP7" i="62"/>
  <c r="EP10" i="62"/>
  <c r="EB10" i="62"/>
  <c r="EP8" i="62"/>
  <c r="EB8" i="62"/>
  <c r="EU9" i="62"/>
  <c r="EG9" i="62"/>
  <c r="EK8" i="75"/>
  <c r="DW8" i="75"/>
  <c r="EK10" i="75"/>
  <c r="DW10" i="75"/>
  <c r="EF9" i="75"/>
  <c r="DR9" i="75"/>
  <c r="EF7" i="75"/>
  <c r="DR7" i="75"/>
  <c r="IB10" i="75"/>
  <c r="IB9" i="75"/>
  <c r="IB8" i="75"/>
  <c r="IB7" i="75"/>
  <c r="IG9" i="62"/>
  <c r="IG7" i="62"/>
  <c r="IB8" i="62"/>
  <c r="IB10" i="62"/>
  <c r="MD7" i="62" l="1"/>
  <c r="MM7" i="62" s="1"/>
  <c r="MH7" i="62"/>
  <c r="LY10" i="62"/>
  <c r="LY9" i="62"/>
  <c r="LX8" i="62"/>
  <c r="LT8" i="62"/>
  <c r="MC8" i="62" s="1"/>
  <c r="KT9" i="75"/>
  <c r="KP9" i="75"/>
  <c r="KP10" i="75"/>
  <c r="KT10" i="75"/>
  <c r="KQ7" i="88"/>
  <c r="KM7" i="88"/>
  <c r="KQ9" i="88"/>
  <c r="KM9" i="88"/>
  <c r="KQ8" i="88"/>
  <c r="KM8" i="88"/>
  <c r="KQ10" i="88"/>
  <c r="KM10" i="88"/>
  <c r="KK8" i="75"/>
  <c r="KO8" i="75"/>
  <c r="KE7" i="75"/>
  <c r="KA7" i="75"/>
  <c r="EB9" i="62"/>
  <c r="EP9" i="62"/>
  <c r="DW8" i="62"/>
  <c r="EK8" i="62"/>
  <c r="EK10" i="62"/>
  <c r="DW10" i="62"/>
  <c r="DW7" i="62"/>
  <c r="EK7" i="62"/>
  <c r="EF10" i="75"/>
  <c r="DR10" i="75"/>
  <c r="DR8" i="75"/>
  <c r="EF8" i="75"/>
  <c r="EA9" i="75"/>
  <c r="DM9" i="75"/>
  <c r="EA7" i="75"/>
  <c r="DM7" i="75"/>
  <c r="IG10" i="75"/>
  <c r="IG10" i="62"/>
  <c r="IG8" i="62"/>
  <c r="MI7" i="62" l="1"/>
  <c r="MR7" i="62" s="1"/>
  <c r="MD9" i="62"/>
  <c r="MM9" i="62" s="1"/>
  <c r="MH9" i="62"/>
  <c r="MD10" i="62"/>
  <c r="MM10" i="62" s="1"/>
  <c r="MH10" i="62"/>
  <c r="LY8" i="62"/>
  <c r="KR7" i="88"/>
  <c r="LA7" i="88" s="1"/>
  <c r="KY9" i="75"/>
  <c r="KU9" i="75"/>
  <c r="KY10" i="75"/>
  <c r="KU10" i="75"/>
  <c r="KV10" i="88"/>
  <c r="KR10" i="88"/>
  <c r="KV8" i="88"/>
  <c r="KR8" i="88"/>
  <c r="KV9" i="88"/>
  <c r="KR9" i="88"/>
  <c r="KV7" i="88"/>
  <c r="KP8" i="75"/>
  <c r="KT8" i="75"/>
  <c r="KJ7" i="75"/>
  <c r="KF7" i="75"/>
  <c r="EF10" i="62"/>
  <c r="DR10" i="62"/>
  <c r="DR8" i="62"/>
  <c r="EF8" i="62"/>
  <c r="EF7" i="62"/>
  <c r="DR7" i="62"/>
  <c r="EK9" i="62"/>
  <c r="DW9" i="62"/>
  <c r="EA8" i="75"/>
  <c r="DM8" i="75"/>
  <c r="EA10" i="75"/>
  <c r="DM10" i="75"/>
  <c r="DV9" i="75"/>
  <c r="DH9" i="75"/>
  <c r="DV7" i="75"/>
  <c r="DH7" i="75"/>
  <c r="MN7" i="62" l="1"/>
  <c r="MI10" i="62"/>
  <c r="MR10" i="62" s="1"/>
  <c r="MI9" i="62"/>
  <c r="MR9" i="62" s="1"/>
  <c r="MD8" i="62"/>
  <c r="MM8" i="62" s="1"/>
  <c r="MH8" i="62"/>
  <c r="KW7" i="88"/>
  <c r="LF7" i="88" s="1"/>
  <c r="LD9" i="75"/>
  <c r="KZ9" i="75"/>
  <c r="LD10" i="75"/>
  <c r="KZ10" i="75"/>
  <c r="LA9" i="88"/>
  <c r="KW9" i="88"/>
  <c r="LA8" i="88"/>
  <c r="KW8" i="88"/>
  <c r="LA10" i="88"/>
  <c r="KW10" i="88"/>
  <c r="KU8" i="75"/>
  <c r="KY8" i="75"/>
  <c r="KO7" i="75"/>
  <c r="KK7" i="75"/>
  <c r="DM10" i="62"/>
  <c r="EA10" i="62"/>
  <c r="DM7" i="62"/>
  <c r="EA7" i="62"/>
  <c r="DR9" i="62"/>
  <c r="EF9" i="62"/>
  <c r="EA8" i="62"/>
  <c r="DM8" i="62"/>
  <c r="DV10" i="75"/>
  <c r="DH10" i="75"/>
  <c r="DV8" i="75"/>
  <c r="DH8" i="75"/>
  <c r="DQ9" i="75"/>
  <c r="DC9" i="75"/>
  <c r="DQ7" i="75"/>
  <c r="DC7" i="75"/>
  <c r="MS7" i="62" l="1"/>
  <c r="NP7" i="62" s="1"/>
  <c r="MW7" i="62"/>
  <c r="LB7" i="88"/>
  <c r="MN9" i="62"/>
  <c r="MN10" i="62"/>
  <c r="MI8" i="62"/>
  <c r="MR8" i="62" s="1"/>
  <c r="LK7" i="88"/>
  <c r="LG7" i="88"/>
  <c r="LI9" i="75"/>
  <c r="LE9" i="75"/>
  <c r="LI10" i="75"/>
  <c r="LE10" i="75"/>
  <c r="LF10" i="88"/>
  <c r="LB10" i="88"/>
  <c r="LF8" i="88"/>
  <c r="LB8" i="88"/>
  <c r="LF9" i="88"/>
  <c r="LB9" i="88"/>
  <c r="KZ8" i="75"/>
  <c r="LD8" i="75"/>
  <c r="KT7" i="75"/>
  <c r="KP7" i="75"/>
  <c r="KY7" i="75" s="1"/>
  <c r="DV10" i="62"/>
  <c r="DH10" i="62"/>
  <c r="EA9" i="62"/>
  <c r="DM9" i="62"/>
  <c r="DH7" i="62"/>
  <c r="DV7" i="62"/>
  <c r="DV8" i="62"/>
  <c r="DH8" i="62"/>
  <c r="DC8" i="75"/>
  <c r="DQ8" i="75"/>
  <c r="DQ10" i="75"/>
  <c r="DC10" i="75"/>
  <c r="DL7" i="75"/>
  <c r="CX7" i="75"/>
  <c r="DL9" i="75"/>
  <c r="CX9" i="75"/>
  <c r="MX7" i="62" l="1"/>
  <c r="NC7" i="62" s="1"/>
  <c r="MS10" i="62"/>
  <c r="NP10" i="62" s="1"/>
  <c r="MW10" i="62"/>
  <c r="MW9" i="62"/>
  <c r="MS9" i="62"/>
  <c r="NP9" i="62" s="1"/>
  <c r="MN8" i="62"/>
  <c r="LP7" i="88"/>
  <c r="LL7" i="88"/>
  <c r="LN9" i="75"/>
  <c r="LJ9" i="75"/>
  <c r="LN10" i="75"/>
  <c r="LJ10" i="75"/>
  <c r="LK9" i="88"/>
  <c r="LG9" i="88"/>
  <c r="LK10" i="88"/>
  <c r="LG10" i="88"/>
  <c r="LK8" i="88"/>
  <c r="LG8" i="88"/>
  <c r="LE8" i="75"/>
  <c r="LI8" i="75"/>
  <c r="KU7" i="75"/>
  <c r="DH9" i="62"/>
  <c r="DV9" i="62"/>
  <c r="DQ8" i="62"/>
  <c r="DC8" i="62"/>
  <c r="DQ10" i="62"/>
  <c r="DC10" i="62"/>
  <c r="DQ7" i="62"/>
  <c r="DC7" i="62"/>
  <c r="DL10" i="75"/>
  <c r="CX10" i="75"/>
  <c r="DL8" i="75"/>
  <c r="CX8" i="75"/>
  <c r="DG7" i="75"/>
  <c r="CS7" i="75"/>
  <c r="DG9" i="75"/>
  <c r="CS9" i="75"/>
  <c r="NG7" i="62" l="1"/>
  <c r="NH7" i="62"/>
  <c r="MX10" i="62"/>
  <c r="NC10" i="62" s="1"/>
  <c r="MX9" i="62"/>
  <c r="NC9" i="62" s="1"/>
  <c r="MW8" i="62"/>
  <c r="MS8" i="62"/>
  <c r="NP8" i="62" s="1"/>
  <c r="LS10" i="75"/>
  <c r="LO10" i="75"/>
  <c r="LS9" i="75"/>
  <c r="LO9" i="75"/>
  <c r="LU7" i="88"/>
  <c r="LQ7" i="88"/>
  <c r="LL10" i="88"/>
  <c r="LP10" i="88"/>
  <c r="LP8" i="88"/>
  <c r="LL8" i="88"/>
  <c r="LP9" i="88"/>
  <c r="LL9" i="88"/>
  <c r="LJ8" i="75"/>
  <c r="LN8" i="75"/>
  <c r="LD7" i="75"/>
  <c r="KZ7" i="75"/>
  <c r="DL10" i="62"/>
  <c r="CX10" i="62"/>
  <c r="DL7" i="62"/>
  <c r="CX7" i="62"/>
  <c r="DC9" i="62"/>
  <c r="DQ9" i="62"/>
  <c r="DL8" i="62"/>
  <c r="CX8" i="62"/>
  <c r="DG8" i="75"/>
  <c r="CS8" i="75"/>
  <c r="DG10" i="75"/>
  <c r="CS10" i="75"/>
  <c r="DB7" i="75"/>
  <c r="CN7" i="75"/>
  <c r="DB9" i="75"/>
  <c r="CN9" i="75"/>
  <c r="NT7" i="62" l="1"/>
  <c r="NL7" i="62"/>
  <c r="NH10" i="62"/>
  <c r="NG10" i="62"/>
  <c r="NH9" i="62"/>
  <c r="NG9" i="62"/>
  <c r="MX8" i="62"/>
  <c r="NC8" i="62" s="1"/>
  <c r="LZ7" i="88"/>
  <c r="LV7" i="88"/>
  <c r="ME7" i="88" s="1"/>
  <c r="LS8" i="75"/>
  <c r="LO8" i="75"/>
  <c r="LX9" i="75"/>
  <c r="LT9" i="75"/>
  <c r="MC9" i="75" s="1"/>
  <c r="LX10" i="75"/>
  <c r="LT10" i="75"/>
  <c r="MC10" i="75" s="1"/>
  <c r="LU9" i="88"/>
  <c r="LQ9" i="88"/>
  <c r="LU8" i="88"/>
  <c r="LQ8" i="88"/>
  <c r="LU10" i="88"/>
  <c r="LQ10" i="88"/>
  <c r="LI7" i="75"/>
  <c r="LE7" i="75"/>
  <c r="DG10" i="62"/>
  <c r="CS10" i="62"/>
  <c r="CS7" i="62"/>
  <c r="DG7" i="62"/>
  <c r="DL9" i="62"/>
  <c r="CX9" i="62"/>
  <c r="CS8" i="62"/>
  <c r="DG8" i="62"/>
  <c r="CN8" i="75"/>
  <c r="DB8" i="75"/>
  <c r="CN10" i="75"/>
  <c r="DB10" i="75"/>
  <c r="CW7" i="75"/>
  <c r="CI7" i="75"/>
  <c r="CW9" i="75"/>
  <c r="CI9" i="75"/>
  <c r="NL10" i="62" l="1"/>
  <c r="NT10" i="62"/>
  <c r="NL9" i="62"/>
  <c r="NT9" i="62"/>
  <c r="NH8" i="62"/>
  <c r="NG8" i="62"/>
  <c r="LY10" i="75"/>
  <c r="MH10" i="75" s="1"/>
  <c r="LY9" i="75"/>
  <c r="MH9" i="75" s="1"/>
  <c r="MA7" i="88"/>
  <c r="MJ7" i="88" s="1"/>
  <c r="LV8" i="88"/>
  <c r="ME8" i="88" s="1"/>
  <c r="LZ8" i="88"/>
  <c r="LZ9" i="88"/>
  <c r="LV9" i="88"/>
  <c r="ME9" i="88" s="1"/>
  <c r="LZ10" i="88"/>
  <c r="LV10" i="88"/>
  <c r="ME10" i="88" s="1"/>
  <c r="LT8" i="75"/>
  <c r="MC8" i="75" s="1"/>
  <c r="LX8" i="75"/>
  <c r="LN7" i="75"/>
  <c r="LJ7" i="75"/>
  <c r="DB8" i="62"/>
  <c r="CN8" i="62"/>
  <c r="CN7" i="62"/>
  <c r="DB7" i="62"/>
  <c r="DB10" i="62"/>
  <c r="CN10" i="62"/>
  <c r="DG9" i="62"/>
  <c r="CS9" i="62"/>
  <c r="CW10" i="75"/>
  <c r="CI10" i="75"/>
  <c r="CW8" i="75"/>
  <c r="CI8" i="75"/>
  <c r="CR7" i="75"/>
  <c r="CD7" i="75"/>
  <c r="CR9" i="75"/>
  <c r="CD9" i="75"/>
  <c r="NT8" i="62" l="1"/>
  <c r="NL8" i="62"/>
  <c r="MF7" i="88"/>
  <c r="MO7" i="88" s="1"/>
  <c r="MD9" i="75"/>
  <c r="MM9" i="75" s="1"/>
  <c r="MD10" i="75"/>
  <c r="MM10" i="75" s="1"/>
  <c r="LY8" i="75"/>
  <c r="MH8" i="75" s="1"/>
  <c r="MA8" i="88"/>
  <c r="MJ8" i="88" s="1"/>
  <c r="MA10" i="88"/>
  <c r="MJ10" i="88" s="1"/>
  <c r="MA9" i="88"/>
  <c r="MJ9" i="88" s="1"/>
  <c r="LS7" i="75"/>
  <c r="LO7" i="75"/>
  <c r="CW10" i="62"/>
  <c r="CI10" i="62"/>
  <c r="DB9" i="62"/>
  <c r="CN9" i="62"/>
  <c r="CW7" i="62"/>
  <c r="CI7" i="62"/>
  <c r="CI8" i="62"/>
  <c r="CW8" i="62"/>
  <c r="CR8" i="75"/>
  <c r="CD8" i="75"/>
  <c r="CR10" i="75"/>
  <c r="CD10" i="75"/>
  <c r="CM9" i="75"/>
  <c r="BY9" i="75"/>
  <c r="CM7" i="75"/>
  <c r="BY7" i="75"/>
  <c r="MK7" i="88" l="1"/>
  <c r="MT7" i="88" s="1"/>
  <c r="MI10" i="75"/>
  <c r="MR10" i="75" s="1"/>
  <c r="MI9" i="75"/>
  <c r="MR9" i="75" s="1"/>
  <c r="MF9" i="88"/>
  <c r="MO9" i="88" s="1"/>
  <c r="MF10" i="88"/>
  <c r="MO10" i="88" s="1"/>
  <c r="MF8" i="88"/>
  <c r="MO8" i="88" s="1"/>
  <c r="MD8" i="75"/>
  <c r="MM8" i="75" s="1"/>
  <c r="LX7" i="75"/>
  <c r="LT7" i="75"/>
  <c r="MC7" i="75" s="1"/>
  <c r="CD8" i="62"/>
  <c r="CR8" i="62"/>
  <c r="CD10" i="62"/>
  <c r="CR10" i="62"/>
  <c r="CW9" i="62"/>
  <c r="CI9" i="62"/>
  <c r="CR7" i="62"/>
  <c r="CD7" i="62"/>
  <c r="BY8" i="75"/>
  <c r="CM8" i="75"/>
  <c r="CM10" i="75"/>
  <c r="BY10" i="75"/>
  <c r="CH9" i="75"/>
  <c r="BT9" i="75"/>
  <c r="CH7" i="75"/>
  <c r="BT7" i="75"/>
  <c r="MP7" i="88" l="1"/>
  <c r="MN9" i="75"/>
  <c r="MN10" i="75"/>
  <c r="MK9" i="88"/>
  <c r="MT9" i="88" s="1"/>
  <c r="MK10" i="88"/>
  <c r="MT10" i="88" s="1"/>
  <c r="MK8" i="88"/>
  <c r="MT8" i="88" s="1"/>
  <c r="MI8" i="75"/>
  <c r="MR8" i="75" s="1"/>
  <c r="LY7" i="75"/>
  <c r="MH7" i="75" s="1"/>
  <c r="CD9" i="62"/>
  <c r="CR9" i="62"/>
  <c r="CM10" i="62"/>
  <c r="BY10" i="62"/>
  <c r="CM8" i="62"/>
  <c r="BY8" i="62"/>
  <c r="CM7" i="62"/>
  <c r="BY7" i="62"/>
  <c r="CH10" i="75"/>
  <c r="BT10" i="75"/>
  <c r="BT8" i="75"/>
  <c r="CH8" i="75"/>
  <c r="CC7" i="75"/>
  <c r="BO7" i="75"/>
  <c r="CC9" i="75"/>
  <c r="BO9" i="75"/>
  <c r="MU7" i="88" l="1"/>
  <c r="NR7" i="88" s="1"/>
  <c r="MW10" i="75"/>
  <c r="MS10" i="75"/>
  <c r="NP10" i="75" s="1"/>
  <c r="MS9" i="75"/>
  <c r="NP9" i="75" s="1"/>
  <c r="MW9" i="75"/>
  <c r="MP10" i="88"/>
  <c r="MP8" i="88"/>
  <c r="MP9" i="88"/>
  <c r="MN8" i="75"/>
  <c r="MD7" i="75"/>
  <c r="MM7" i="75" s="1"/>
  <c r="CH7" i="62"/>
  <c r="BT7" i="62"/>
  <c r="CH8" i="62"/>
  <c r="BT8" i="62"/>
  <c r="CH10" i="62"/>
  <c r="BT10" i="62"/>
  <c r="BY9" i="62"/>
  <c r="CM9" i="62"/>
  <c r="CC8" i="75"/>
  <c r="BO8" i="75"/>
  <c r="CC10" i="75"/>
  <c r="BO10" i="75"/>
  <c r="BX9" i="75"/>
  <c r="BJ9" i="75"/>
  <c r="BX7" i="75"/>
  <c r="BJ7" i="75"/>
  <c r="MZ7" i="88" l="1"/>
  <c r="MX10" i="75"/>
  <c r="NC10" i="75" s="1"/>
  <c r="MX9" i="75"/>
  <c r="NC9" i="75" s="1"/>
  <c r="MU8" i="88"/>
  <c r="NR8" i="88" s="1"/>
  <c r="MU10" i="88"/>
  <c r="NR10" i="88" s="1"/>
  <c r="MU9" i="88"/>
  <c r="NR9" i="88" s="1"/>
  <c r="MS8" i="75"/>
  <c r="NP8" i="75" s="1"/>
  <c r="MW8" i="75"/>
  <c r="MI7" i="75"/>
  <c r="MR7" i="75" s="1"/>
  <c r="CH9" i="62"/>
  <c r="BT9" i="62"/>
  <c r="BO8" i="62"/>
  <c r="CC8" i="62"/>
  <c r="CC7" i="62"/>
  <c r="BO7" i="62"/>
  <c r="BO10" i="62"/>
  <c r="CC10" i="62"/>
  <c r="BX8" i="75"/>
  <c r="BJ8" i="75"/>
  <c r="BJ10" i="75"/>
  <c r="BX10" i="75"/>
  <c r="BS7" i="75"/>
  <c r="BE7" i="75"/>
  <c r="BS9" i="75"/>
  <c r="BE9" i="75"/>
  <c r="NG10" i="75" l="1"/>
  <c r="NH10" i="75"/>
  <c r="NG9" i="75"/>
  <c r="NH9" i="75"/>
  <c r="MZ9" i="88"/>
  <c r="NE7" i="88"/>
  <c r="MZ8" i="88"/>
  <c r="MZ10" i="88"/>
  <c r="MX8" i="75"/>
  <c r="NC8" i="75" s="1"/>
  <c r="MN7" i="75"/>
  <c r="BX10" i="62"/>
  <c r="BJ10" i="62"/>
  <c r="BX8" i="62"/>
  <c r="BJ8" i="62"/>
  <c r="BX7" i="62"/>
  <c r="BJ7" i="62"/>
  <c r="CC9" i="62"/>
  <c r="BO9" i="62"/>
  <c r="BS10" i="75"/>
  <c r="BE10" i="75"/>
  <c r="BE8" i="75"/>
  <c r="BS8" i="75"/>
  <c r="BN9" i="75"/>
  <c r="AZ9" i="75"/>
  <c r="BN7" i="75"/>
  <c r="AZ7" i="75"/>
  <c r="NT10" i="75" l="1"/>
  <c r="NL10" i="75"/>
  <c r="NT9" i="75"/>
  <c r="NL9" i="75"/>
  <c r="NH8" i="75"/>
  <c r="NG8" i="75"/>
  <c r="NE10" i="88"/>
  <c r="NI7" i="88"/>
  <c r="NJ7" i="88"/>
  <c r="NE8" i="88"/>
  <c r="NE9" i="88"/>
  <c r="MW7" i="75"/>
  <c r="MS7" i="75"/>
  <c r="NP7" i="75" s="1"/>
  <c r="BX9" i="62"/>
  <c r="BJ9" i="62"/>
  <c r="BS8" i="62"/>
  <c r="BE8" i="62"/>
  <c r="BS7" i="62"/>
  <c r="BE7" i="62"/>
  <c r="BS10" i="62"/>
  <c r="BE10" i="62"/>
  <c r="BN8" i="75"/>
  <c r="AZ8" i="75"/>
  <c r="BN10" i="75"/>
  <c r="AZ10" i="75"/>
  <c r="BI7" i="75"/>
  <c r="AU7" i="75"/>
  <c r="BI9" i="75"/>
  <c r="AU9" i="75"/>
  <c r="NN7" i="88" l="1"/>
  <c r="NV7" i="88"/>
  <c r="NT8" i="75"/>
  <c r="NL8" i="75"/>
  <c r="NI8" i="88"/>
  <c r="NJ8" i="88"/>
  <c r="NI10" i="88"/>
  <c r="NJ10" i="88"/>
  <c r="NI9" i="88"/>
  <c r="NJ9" i="88"/>
  <c r="MX7" i="75"/>
  <c r="NC7" i="75" s="1"/>
  <c r="BN8" i="62"/>
  <c r="AZ8" i="62"/>
  <c r="BS9" i="62"/>
  <c r="BE9" i="62"/>
  <c r="BN10" i="62"/>
  <c r="AZ10" i="62"/>
  <c r="AZ7" i="62"/>
  <c r="BN7" i="62"/>
  <c r="BI10" i="75"/>
  <c r="AU10" i="75"/>
  <c r="BI8" i="75"/>
  <c r="AU8" i="75"/>
  <c r="BD7" i="75"/>
  <c r="AP7" i="75"/>
  <c r="BD9" i="75"/>
  <c r="AP9" i="75"/>
  <c r="NN8" i="88" l="1"/>
  <c r="NV8" i="88"/>
  <c r="NN10" i="88"/>
  <c r="NV10" i="88"/>
  <c r="NN9" i="88"/>
  <c r="NV9" i="88"/>
  <c r="NH7" i="75"/>
  <c r="NG7" i="75"/>
  <c r="BN9" i="62"/>
  <c r="AZ9" i="62"/>
  <c r="BI10" i="62"/>
  <c r="AU10" i="62"/>
  <c r="AU8" i="62"/>
  <c r="BI8" i="62"/>
  <c r="BI7" i="62"/>
  <c r="AU7" i="62"/>
  <c r="BD8" i="75"/>
  <c r="AP8" i="75"/>
  <c r="AP10" i="75"/>
  <c r="BD10" i="75"/>
  <c r="AY7" i="75"/>
  <c r="AK7" i="75"/>
  <c r="AY9" i="75"/>
  <c r="AK9" i="75"/>
  <c r="NT7" i="75" l="1"/>
  <c r="NL7" i="75"/>
  <c r="AP7" i="62"/>
  <c r="BD7" i="62"/>
  <c r="AP8" i="62"/>
  <c r="BD8" i="62"/>
  <c r="AP10" i="62"/>
  <c r="BD10" i="62"/>
  <c r="BI9" i="62"/>
  <c r="AU9" i="62"/>
  <c r="AK10" i="75"/>
  <c r="AY10" i="75"/>
  <c r="AK8" i="75"/>
  <c r="AY8" i="75"/>
  <c r="AT7" i="75"/>
  <c r="AF7" i="75"/>
  <c r="AT9" i="75"/>
  <c r="AF9" i="75"/>
  <c r="BD9" i="62" l="1"/>
  <c r="AP9" i="62"/>
  <c r="AK10" i="62"/>
  <c r="AY10" i="62"/>
  <c r="AY8" i="62"/>
  <c r="AK8" i="62"/>
  <c r="AK7" i="62"/>
  <c r="AY7" i="62"/>
  <c r="AF8" i="75"/>
  <c r="AT8" i="75"/>
  <c r="AT10" i="75"/>
  <c r="AF10" i="75"/>
  <c r="AO7" i="75"/>
  <c r="AA7" i="75"/>
  <c r="AO9" i="75"/>
  <c r="AA9" i="75"/>
  <c r="AK9" i="62" l="1"/>
  <c r="AY9" i="62"/>
  <c r="AT8" i="62"/>
  <c r="AF8" i="62"/>
  <c r="AT7" i="62"/>
  <c r="AF7" i="62"/>
  <c r="AF10" i="62"/>
  <c r="AT10" i="62"/>
  <c r="AO10" i="75"/>
  <c r="AA10" i="75"/>
  <c r="AA8" i="75"/>
  <c r="AO8" i="75"/>
  <c r="AJ7" i="75"/>
  <c r="V7" i="75"/>
  <c r="AJ9" i="75"/>
  <c r="V9" i="75"/>
  <c r="AO10" i="62" l="1"/>
  <c r="AA10" i="62"/>
  <c r="AO7" i="62"/>
  <c r="AA7" i="62"/>
  <c r="AO8" i="62"/>
  <c r="AA8" i="62"/>
  <c r="AT9" i="62"/>
  <c r="AF9" i="62"/>
  <c r="AJ8" i="75"/>
  <c r="V8" i="75"/>
  <c r="AJ10" i="75"/>
  <c r="V10" i="75"/>
  <c r="AE7" i="75"/>
  <c r="Q7" i="75"/>
  <c r="AE9" i="75"/>
  <c r="Q9" i="75"/>
  <c r="AJ7" i="62" l="1"/>
  <c r="V7" i="62"/>
  <c r="AJ10" i="62"/>
  <c r="V10" i="62"/>
  <c r="AO9" i="62"/>
  <c r="AA9" i="62"/>
  <c r="AJ8" i="62"/>
  <c r="V8" i="62"/>
  <c r="AE10" i="75"/>
  <c r="Q10" i="75"/>
  <c r="AE8" i="75"/>
  <c r="Q8" i="75"/>
  <c r="Z7" i="75"/>
  <c r="L7" i="75"/>
  <c r="Z9" i="75"/>
  <c r="L9" i="75"/>
  <c r="Q7" i="62" l="1"/>
  <c r="AE7" i="62"/>
  <c r="AJ9" i="62"/>
  <c r="V9" i="62"/>
  <c r="Q8" i="62"/>
  <c r="AE8" i="62"/>
  <c r="Q10" i="62"/>
  <c r="AE10" i="62"/>
  <c r="L8" i="75"/>
  <c r="Z8" i="75"/>
  <c r="L10" i="75"/>
  <c r="Z10" i="75"/>
  <c r="U9" i="75"/>
  <c r="G9" i="75"/>
  <c r="U7" i="75"/>
  <c r="G7" i="75"/>
  <c r="Z10" i="62" l="1"/>
  <c r="L10" i="62"/>
  <c r="L8" i="62"/>
  <c r="Z8" i="62"/>
  <c r="Q9" i="62"/>
  <c r="AE9" i="62"/>
  <c r="L7" i="62"/>
  <c r="Z7" i="62"/>
  <c r="U8" i="75"/>
  <c r="G8" i="75"/>
  <c r="U10" i="75"/>
  <c r="G10" i="75"/>
  <c r="P7" i="75"/>
  <c r="C7" i="75"/>
  <c r="K7" i="75" s="1"/>
  <c r="P9" i="75"/>
  <c r="C9" i="75"/>
  <c r="K9" i="75" s="1"/>
  <c r="G8" i="62" l="1"/>
  <c r="U8" i="62"/>
  <c r="U10" i="62"/>
  <c r="G10" i="62"/>
  <c r="Z9" i="62"/>
  <c r="L9" i="62"/>
  <c r="G7" i="62"/>
  <c r="U7" i="62"/>
  <c r="P8" i="75"/>
  <c r="C8" i="75"/>
  <c r="K8" i="75" s="1"/>
  <c r="C10" i="75"/>
  <c r="K10" i="75" s="1"/>
  <c r="P10" i="75"/>
  <c r="C8" i="62" l="1"/>
  <c r="K8" i="62" s="1"/>
  <c r="P8" i="62"/>
  <c r="P10" i="62"/>
  <c r="C10" i="62"/>
  <c r="K10" i="62" s="1"/>
  <c r="G9" i="62"/>
  <c r="U9" i="62"/>
  <c r="C7" i="62"/>
  <c r="K7" i="62" s="1"/>
  <c r="P7" i="62"/>
  <c r="P9" i="62" l="1"/>
  <c r="C9" i="62"/>
  <c r="K9" i="62" s="1"/>
</calcChain>
</file>

<file path=xl/sharedStrings.xml><?xml version="1.0" encoding="utf-8"?>
<sst xmlns="http://schemas.openxmlformats.org/spreadsheetml/2006/main" count="2962" uniqueCount="156">
  <si>
    <t>Grupamento de Atividades Econômicas e Seção CNAE 2.0</t>
  </si>
  <si>
    <t>Acumulado do Ano (2026) - com ajuste</t>
  </si>
  <si>
    <t>Admissões</t>
  </si>
  <si>
    <t>Desligamentos</t>
  </si>
  <si>
    <t>Saldos</t>
  </si>
  <si>
    <t>Variação Relativa (%)</t>
  </si>
  <si>
    <t>Total</t>
  </si>
  <si>
    <t>Agricultura, pecuária, produção florestal, pesca e aquicultura</t>
  </si>
  <si>
    <t>Indústria geral</t>
  </si>
  <si>
    <t>Indústrias Extrativas</t>
  </si>
  <si>
    <t>Não identificado</t>
  </si>
  <si>
    <t>Região e UF</t>
  </si>
  <si>
    <t>Acumulado do Ano (2026) - com ajustes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</si>
  <si>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</si>
  <si>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</si>
  <si>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</si>
  <si>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</si>
  <si>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</si>
  <si>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</si>
  <si>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</si>
  <si>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</si>
  <si>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</si>
  <si>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</si>
  <si>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</si>
  <si>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</si>
  <si>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</si>
  <si>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</si>
  <si>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</si>
  <si>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</si>
  <si>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</si>
  <si>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</si>
  <si>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</si>
  <si>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</si>
  <si>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</si>
  <si>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</si>
  <si>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</si>
  <si>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</si>
  <si>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</si>
  <si>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</si>
  <si>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</si>
  <si>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</si>
  <si>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</si>
  <si>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UF</t>
  </si>
  <si>
    <t>Código do Município</t>
  </si>
  <si>
    <t>Município</t>
  </si>
  <si>
    <t>RO</t>
  </si>
  <si>
    <t>Ro-Alta Floresta D Oeste</t>
  </si>
  <si>
    <t>Ro-Ariquemes</t>
  </si>
  <si>
    <t>Ro-Cabixi</t>
  </si>
  <si>
    <t>Ro-Cacoal</t>
  </si>
  <si>
    <t>Unidade da Federação</t>
  </si>
  <si>
    <t>TABELA 5 - EVOLUÇÃO DE ESTOQUE, ADMISSÕES, DESLIGAMENTOS E SALDO POR MÊS - SEM AJUSTES</t>
  </si>
  <si>
    <t>Mês</t>
  </si>
  <si>
    <t>Estoque</t>
  </si>
  <si>
    <t>Janeiro/2020</t>
  </si>
  <si>
    <t>Fevereiro/2020</t>
  </si>
  <si>
    <t>Março/2020</t>
  </si>
  <si>
    <t>Abril/2020</t>
  </si>
  <si>
    <t>Maio/2020</t>
  </si>
  <si>
    <t>Junho/2020</t>
  </si>
  <si>
    <t>Julho/2020</t>
  </si>
  <si>
    <t>Agosto/2020</t>
  </si>
  <si>
    <t>Setembro/2020</t>
  </si>
  <si>
    <t>Outubro/2020</t>
  </si>
  <si>
    <t>Novembro/2020</t>
  </si>
  <si>
    <t>Dezembro/2020</t>
  </si>
  <si>
    <t>Janeiro/2021</t>
  </si>
  <si>
    <t>Fevereiro/2021</t>
  </si>
  <si>
    <t>Março/2021</t>
  </si>
  <si>
    <t>Abril/2021</t>
  </si>
  <si>
    <t>Maio/2021</t>
  </si>
  <si>
    <t>Junho/2021</t>
  </si>
  <si>
    <t>Julho/2021</t>
  </si>
  <si>
    <t>Agosto/2021</t>
  </si>
  <si>
    <t>Setembro/2021</t>
  </si>
  <si>
    <t>Outubro/2021</t>
  </si>
  <si>
    <t>Novembro/2021</t>
  </si>
  <si>
    <t>Dezembro/2021</t>
  </si>
  <si>
    <t>Janeiro/2022</t>
  </si>
  <si>
    <t>Fevereiro/2022</t>
  </si>
  <si>
    <t>Março/2022</t>
  </si>
  <si>
    <t>Abril/2022</t>
  </si>
  <si>
    <t>Maio/2022</t>
  </si>
  <si>
    <t>Junho/2022</t>
  </si>
  <si>
    <t>Julho/2022</t>
  </si>
  <si>
    <t>Agosto/2022</t>
  </si>
  <si>
    <t>Setembro/2022</t>
  </si>
  <si>
    <t>Outubro/2022</t>
  </si>
  <si>
    <t>Novembro/2022</t>
  </si>
  <si>
    <t>Dezembro/2022</t>
  </si>
  <si>
    <t>Janeiro/2023</t>
  </si>
  <si>
    <t>Fevereiro/2023</t>
  </si>
  <si>
    <t>Março/2023</t>
  </si>
  <si>
    <t>Abril/2023</t>
  </si>
  <si>
    <t>Maio/2023</t>
  </si>
  <si>
    <t>Junho/2023</t>
  </si>
  <si>
    <t>Julho/2023</t>
  </si>
  <si>
    <t>Agosto/2023</t>
  </si>
  <si>
    <t>Setembro/2023</t>
  </si>
  <si>
    <t>Outubro/2023</t>
  </si>
  <si>
    <t>Novembro/2023</t>
  </si>
  <si>
    <t>Dezembro/2023</t>
  </si>
  <si>
    <t>Janeiro/2024</t>
  </si>
  <si>
    <t>Fevereiro/2024</t>
  </si>
  <si>
    <t>Março/2024</t>
  </si>
  <si>
    <t>Abril/2024</t>
  </si>
  <si>
    <t>Maio/2024</t>
  </si>
  <si>
    <t>Junho/2024</t>
  </si>
  <si>
    <t>Julho/2024</t>
  </si>
  <si>
    <t>Agosto/2024</t>
  </si>
  <si>
    <t>Setembro/2024</t>
  </si>
  <si>
    <t>Outubro/2024</t>
  </si>
  <si>
    <t>Novembro/2024</t>
  </si>
  <si>
    <t>Dezembro/2024</t>
  </si>
  <si>
    <t>Janeiro/2025</t>
  </si>
  <si>
    <t>Fevereiro/2025</t>
  </si>
  <si>
    <t>Março/2025</t>
  </si>
  <si>
    <t>Abril/2025</t>
  </si>
  <si>
    <t>Maio/2025</t>
  </si>
  <si>
    <t>Junho/2025</t>
  </si>
  <si>
    <t>Julho/2025</t>
  </si>
  <si>
    <t>Agosto/2025</t>
  </si>
  <si>
    <t>Setembro/2025</t>
  </si>
  <si>
    <t>Outubro/2025</t>
  </si>
  <si>
    <t>Novembro/2025</t>
  </si>
  <si>
    <t>Dezembro/2025</t>
  </si>
  <si>
    <t>Janeiro/2026</t>
  </si>
  <si>
    <t>Fevereiro/2026</t>
  </si>
  <si>
    <t>TABELA 5.1 - EVOLUÇÃO DE ESTOQUE, ADMISSÕES, DESLIGAMENTOS E SALDO POR MÊS - COM AJUSTES</t>
  </si>
  <si>
    <t>TABELA 6 - EVOLUÇÃO MENSAL DE ESTOQUE, ADMISSÕES, DESLIGAMENTOS E SALDO POR GRUPAMENTO DE ATIVIDADES ECONÔMICAS - SÉRIE SEM AJUSTES</t>
  </si>
  <si>
    <t>Acumulado do Ano (2026) - sem ajustes</t>
  </si>
  <si>
    <t>Estoque****
(Estoque de referência de 2024)</t>
  </si>
  <si>
    <t>TABELA 6.1 - EVOLUÇÃO MENSAL DE ESTOQUE, ADMISSÕES, DESLIGAMENTOS E SALDO POR GRUPAMENTO DE ATIVIDADES ECONÔMICAS - SÉRIE COM AJUSTES</t>
  </si>
  <si>
    <t>TABELA 7 - EVOLUÇÃO MENSAL DE ESTOQUE, ADMISSÕES, DESLIGAMENTOS E SALDO POR NÍVEL GEOGRÁFICO - SÉRIE SEM AJUSTES</t>
  </si>
  <si>
    <t>TABELA 7.1 - EVOLUÇÃO MENSAL DE ESTOQUE, ADMISSÕES, DESLIGAMENTOS E SALDO POR NÍVEL GEOGRÁFICO - SÉRIE COM AJUSTES</t>
  </si>
  <si>
    <t>TABELA 8 - EVOLUÇÃO MENSAL DE ESTOQUE, ADMISSÕES, DESLIGAMENTOS E SALDO POR MUNICÍPIO - SÉRIE SEM AJUSTES</t>
  </si>
  <si>
    <t xml:space="preserve">
UF</t>
  </si>
  <si>
    <t xml:space="preserve">
Código do Município</t>
  </si>
  <si>
    <t xml:space="preserve">
Município</t>
  </si>
  <si>
    <t>TABELA 8.1 - EVOLUÇÃO MENSAL DE ESTOQUE, ADMISSÕES, DESLIGAMENTOS E SALDO POR MUNICÍPIO - SÉRIE COM AJUSTES</t>
  </si>
  <si>
    <t>TABELA 9 - EVOLUÇÃO DO SALÁRIO MÉDIO REAL DE ADMISSÃO E DESLIGAMENTO POR MÊS - SEM AJUSTES</t>
  </si>
  <si>
    <t>Salário Médio Real de Admissão</t>
  </si>
  <si>
    <t>Salário Médio Real de Desligamento</t>
  </si>
  <si>
    <t>TABELA 10 - TAXA DE ROTATIVIDADE DESCONTADA POR GRUPAMENTO DE ATIVIDADES ECONÔMICAS E SEÇÃO CNAE 2.0 - FEVEREIRO DE 2025 A FEVEREIRO DE 2026</t>
  </si>
  <si>
    <t>Taxa de Rotatividade - 12 Meses</t>
  </si>
  <si>
    <t>Estoque Médio</t>
  </si>
  <si>
    <t>Taxa de Rotatividade</t>
  </si>
  <si>
    <t>TABELA 11 - TAXA DE ROTATIVIDADE POR NÍVEL GEOGRÁFICO - FEVEREIRO DE 2025 A FEVEREIRO DE 2026</t>
  </si>
  <si>
    <t>Março/2026</t>
  </si>
  <si>
    <t>Últimos 12 Meses** (Abr/25 a Mar/26) - com ajuste</t>
  </si>
  <si>
    <t>Últimos 12 Meses** (Abr/25 a Mar/26) - sem ajuste</t>
  </si>
  <si>
    <t>Março/2026 - sem ajuste</t>
  </si>
  <si>
    <t>TABELA 1 - ADMISSÕES, DESLIGAMENTOS E SALDO POR GRUPAMENTO DE ATIVIDADES ECONÔMICAS E SEÇÃO CNAE 2.0 - MARÇO DE 2026</t>
  </si>
  <si>
    <t>TABELA 2 - ADMISSÕES, DESLIGAMENTOS E SALDO POR NÍVEL GEOGRÁFICO - MARÇO DE 2026</t>
  </si>
  <si>
    <t>TABELA 3 - ADMISSÕES, DESLIGAMENTOS E SALDO POR MUNICÍPIO - MARÇO DE 2026</t>
  </si>
  <si>
    <t>TABELA 4 - SALDO POR UNIDADE DA FEDERAÇÃO, GRUPAMENTO DE ATIVIDADES ECONÔMICAS E SEÇÃO CNAE 2.0 EM MARÇO DE 2026 - SEM AJUSTES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</si>
</sst>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3" formatCode="_-* #,##0.00_-;\-* #,##0.00_-;_-* &quot;-&quot;??_-;_-@_-"/>
    <numFmt numFmtId="164" formatCode="#0.00"/>
    <numFmt numFmtId="165" formatCode="_(* #,##0.00_);_(* \(#,##0.00\);_(* \-??_);_(@_)"/>
    <numFmt numFmtId="166" formatCode="_(* #,##0.00_);_(* \(#,##0.00\);_(* &quot;-&quot;??_);_(@_)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SansSerif"/>
    </font>
    <font>
      <sz val="10"/>
      <name val="Arial"/>
      <family val="2"/>
    </font>
    <font>
      <sz val="10"/>
      <name val="MS Sans Serif"/>
      <family val="2"/>
      <charset val="1"/>
    </font>
    <font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  <font>
      <u/>
      <sz val="9"/>
      <color rgb="FF0000FF"/>
      <name val="Calibri"/>
      <family val="2"/>
      <scheme val="minor"/>
    </font>
    <font>
      <u/>
      <sz val="9"/>
      <color rgb="FF80008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4" tint="-0.249977111117893"/>
      <name val="Arial"/>
      <family val="2"/>
    </font>
    <font>
      <b/>
      <sz val="10"/>
      <name val="Arial"/>
      <family val="2"/>
    </font>
    <font>
      <b/>
      <sz val="12"/>
      <color theme="1" tint="0.34998626667073579"/>
      <name val="Arial"/>
      <family val="2"/>
    </font>
    <font>
      <b/>
      <sz val="10.5"/>
      <color theme="0"/>
      <name val="Arial"/>
      <family val="2"/>
    </font>
    <font>
      <b/>
      <sz val="10"/>
      <color theme="3"/>
      <name val="Arial"/>
      <family val="2"/>
    </font>
    <font>
      <b/>
      <sz val="11"/>
      <color theme="3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indexed="72"/>
      <name val="Arial"/>
      <family val="2"/>
    </font>
    <font>
      <b/>
      <sz val="10"/>
      <color indexed="72"/>
      <name val="Arial"/>
      <family val="2"/>
    </font>
    <font>
      <sz val="11"/>
      <name val="Calibri"/>
      <family val="2"/>
    </font>
    <font>
      <b/>
      <sz val="12"/>
      <color rgb="FF595959"/>
      <name val="Arial"/>
      <family val="2"/>
    </font>
    <font>
      <b/>
      <sz val="11"/>
      <color rgb="FFFFFFFF"/>
      <name val="Arial"/>
      <family val="2"/>
    </font>
    <font>
      <b/>
      <sz val="10.5"/>
      <color rgb="FFFFFFFF"/>
      <name val="Arial"/>
      <family val="2"/>
    </font>
    <font>
      <b/>
      <sz val="11"/>
      <color rgb="FF366092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42C4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242C4C"/>
        <bgColor rgb="FF000000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ck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D9D9D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6795556505021"/>
      </left>
      <right/>
      <top style="thin">
        <color rgb="FFD9D9D9"/>
      </top>
      <bottom style="thin">
        <color rgb="FFD9D9D9"/>
      </bottom>
      <diagonal/>
    </border>
    <border>
      <left style="thin">
        <color theme="0" tint="-0.14996795556505021"/>
      </left>
      <right/>
      <top style="thin">
        <color rgb="FFD9D9D9"/>
      </top>
      <bottom style="thin">
        <color theme="0" tint="-0.14996795556505021"/>
      </bottom>
      <diagonal/>
    </border>
    <border>
      <left/>
      <right/>
      <top style="thin">
        <color rgb="FFD9D9D9"/>
      </top>
      <bottom style="thin">
        <color theme="0" tint="-0.14996795556505021"/>
      </bottom>
      <diagonal/>
    </border>
    <border>
      <left/>
      <right style="thin">
        <color rgb="FFD9D9D9"/>
      </right>
      <top style="thin">
        <color rgb="FFD9D9D9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rgb="FFD9D9D9"/>
      </top>
      <bottom style="thin">
        <color rgb="FFD9D9D9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</borders>
  <cellStyleXfs count="20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4" fillId="0" borderId="0"/>
    <xf numFmtId="0" fontId="2" fillId="0" borderId="0" applyNumberFormat="0" applyFont="0" applyFill="0" applyBorder="0" applyAlignment="0" applyProtection="0"/>
    <xf numFmtId="0" fontId="7" fillId="0" borderId="0"/>
    <xf numFmtId="0" fontId="9" fillId="3" borderId="1" applyNumberFormat="0" applyFont="0" applyAlignment="0" applyProtection="0"/>
    <xf numFmtId="0" fontId="9" fillId="3" borderId="1" applyNumberFormat="0" applyFont="0" applyAlignment="0" applyProtection="0"/>
    <xf numFmtId="9" fontId="5" fillId="0" borderId="0" applyFill="0" applyBorder="0" applyProtection="0"/>
    <xf numFmtId="166" fontId="8" fillId="0" borderId="0" applyFont="0" applyFill="0" applyBorder="0" applyAlignment="0" applyProtection="0"/>
    <xf numFmtId="165" fontId="5" fillId="0" borderId="0" applyFill="0" applyBorder="0" applyProtection="0"/>
    <xf numFmtId="165" fontId="5" fillId="0" borderId="0" applyFill="0" applyBorder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9" fillId="0" borderId="0" applyFont="0" applyFill="0" applyBorder="0" applyAlignment="0" applyProtection="0"/>
    <xf numFmtId="0" fontId="21" fillId="0" borderId="0"/>
    <xf numFmtId="0" fontId="2" fillId="0" borderId="0"/>
    <xf numFmtId="0" fontId="25" fillId="0" borderId="0"/>
  </cellStyleXfs>
  <cellXfs count="156">
    <xf numFmtId="0" fontId="0" fillId="0" borderId="0" xfId="0"/>
    <xf numFmtId="0" fontId="7" fillId="0" borderId="0" xfId="6"/>
    <xf numFmtId="0" fontId="3" fillId="2" borderId="0" xfId="6" applyFont="1" applyFill="1" applyAlignment="1">
      <alignment horizontal="left" vertical="top" wrapText="1"/>
    </xf>
    <xf numFmtId="3" fontId="7" fillId="0" borderId="0" xfId="6" applyNumberFormat="1"/>
    <xf numFmtId="0" fontId="2" fillId="0" borderId="0" xfId="6" applyFont="1"/>
    <xf numFmtId="0" fontId="0" fillId="0" borderId="0" xfId="0" applyAlignment="1">
      <alignment horizontal="center" vertical="center"/>
    </xf>
    <xf numFmtId="0" fontId="0" fillId="4" borderId="0" xfId="0" applyFill="1"/>
    <xf numFmtId="0" fontId="2" fillId="4" borderId="0" xfId="6" applyFont="1" applyFill="1" applyAlignment="1">
      <alignment horizontal="left" vertical="top" wrapText="1"/>
    </xf>
    <xf numFmtId="0" fontId="2" fillId="4" borderId="0" xfId="6" applyFont="1" applyFill="1"/>
    <xf numFmtId="0" fontId="17" fillId="0" borderId="0" xfId="6" applyFont="1"/>
    <xf numFmtId="0" fontId="13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6" fillId="4" borderId="0" xfId="6" applyFont="1" applyFill="1"/>
    <xf numFmtId="3" fontId="16" fillId="0" borderId="0" xfId="6" applyNumberFormat="1" applyFont="1"/>
    <xf numFmtId="0" fontId="16" fillId="0" borderId="0" xfId="6" applyFont="1"/>
    <xf numFmtId="0" fontId="3" fillId="2" borderId="0" xfId="6" applyFont="1" applyFill="1" applyAlignment="1">
      <alignment horizontal="left" vertical="top"/>
    </xf>
    <xf numFmtId="49" fontId="2" fillId="0" borderId="2" xfId="6" applyNumberFormat="1" applyFont="1" applyBorder="1" applyAlignment="1">
      <alignment horizontal="left" vertical="center" wrapText="1" indent="4"/>
    </xf>
    <xf numFmtId="3" fontId="2" fillId="0" borderId="2" xfId="6" applyNumberFormat="1" applyFont="1" applyBorder="1" applyAlignment="1">
      <alignment horizontal="center" vertical="center" wrapText="1"/>
    </xf>
    <xf numFmtId="3" fontId="2" fillId="0" borderId="4" xfId="6" applyNumberFormat="1" applyFont="1" applyBorder="1" applyAlignment="1">
      <alignment horizontal="center" vertical="center" wrapText="1"/>
    </xf>
    <xf numFmtId="3" fontId="2" fillId="0" borderId="3" xfId="6" applyNumberFormat="1" applyFont="1" applyBorder="1" applyAlignment="1">
      <alignment horizontal="center" vertical="center" wrapText="1"/>
    </xf>
    <xf numFmtId="0" fontId="2" fillId="0" borderId="0" xfId="18"/>
    <xf numFmtId="0" fontId="17" fillId="0" borderId="0" xfId="18" applyFont="1"/>
    <xf numFmtId="0" fontId="2" fillId="4" borderId="0" xfId="18" applyFill="1"/>
    <xf numFmtId="0" fontId="2" fillId="4" borderId="0" xfId="18" applyFill="1" applyAlignment="1">
      <alignment horizontal="left" vertical="top" wrapText="1"/>
    </xf>
    <xf numFmtId="3" fontId="2" fillId="0" borderId="0" xfId="18" applyNumberFormat="1"/>
    <xf numFmtId="9" fontId="2" fillId="0" borderId="0" xfId="16" applyFont="1"/>
    <xf numFmtId="0" fontId="13" fillId="4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2" fillId="2" borderId="0" xfId="18" applyFill="1" applyAlignment="1">
      <alignment horizontal="left" vertical="top" wrapText="1"/>
    </xf>
    <xf numFmtId="3" fontId="2" fillId="2" borderId="0" xfId="18" applyNumberFormat="1" applyFill="1" applyAlignment="1">
      <alignment horizontal="left" vertical="top" wrapText="1"/>
    </xf>
    <xf numFmtId="0" fontId="16" fillId="4" borderId="0" xfId="18" applyFont="1" applyFill="1"/>
    <xf numFmtId="0" fontId="16" fillId="0" borderId="0" xfId="18" applyFont="1"/>
    <xf numFmtId="0" fontId="26" fillId="0" borderId="0" xfId="0" applyFont="1"/>
    <xf numFmtId="0" fontId="28" fillId="8" borderId="6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left" vertical="center" wrapText="1" indent="1"/>
    </xf>
    <xf numFmtId="3" fontId="29" fillId="0" borderId="11" xfId="0" applyNumberFormat="1" applyFont="1" applyBorder="1" applyAlignment="1">
      <alignment horizontal="center" vertical="center" wrapText="1"/>
    </xf>
    <xf numFmtId="3" fontId="2" fillId="0" borderId="4" xfId="18" applyNumberFormat="1" applyBorder="1" applyAlignment="1">
      <alignment horizontal="center" vertical="center" wrapText="1"/>
    </xf>
    <xf numFmtId="0" fontId="27" fillId="8" borderId="6" xfId="0" applyFont="1" applyFill="1" applyBorder="1" applyAlignment="1">
      <alignment horizontal="center" vertical="center" wrapText="1"/>
    </xf>
    <xf numFmtId="0" fontId="2" fillId="0" borderId="0" xfId="0" applyFont="1"/>
    <xf numFmtId="0" fontId="3" fillId="6" borderId="0" xfId="0" applyFont="1" applyFill="1" applyAlignment="1">
      <alignment horizontal="left" vertical="top" wrapText="1"/>
    </xf>
    <xf numFmtId="0" fontId="2" fillId="7" borderId="0" xfId="0" applyFont="1" applyFill="1"/>
    <xf numFmtId="0" fontId="2" fillId="7" borderId="0" xfId="0" applyFont="1" applyFill="1" applyAlignment="1">
      <alignment horizontal="left" vertical="top" wrapText="1"/>
    </xf>
    <xf numFmtId="0" fontId="16" fillId="9" borderId="0" xfId="18" applyFont="1" applyFill="1"/>
    <xf numFmtId="2" fontId="2" fillId="0" borderId="0" xfId="18" applyNumberFormat="1"/>
    <xf numFmtId="2" fontId="2" fillId="4" borderId="0" xfId="18" applyNumberFormat="1" applyFill="1"/>
    <xf numFmtId="17" fontId="18" fillId="5" borderId="3" xfId="0" applyNumberFormat="1" applyFont="1" applyFill="1" applyBorder="1" applyAlignment="1">
      <alignment horizontal="center" vertical="center" wrapText="1"/>
    </xf>
    <xf numFmtId="2" fontId="29" fillId="0" borderId="11" xfId="0" applyNumberFormat="1" applyFont="1" applyBorder="1" applyAlignment="1">
      <alignment horizontal="center" vertical="center" wrapText="1"/>
    </xf>
    <xf numFmtId="3" fontId="2" fillId="0" borderId="0" xfId="6" applyNumberFormat="1" applyFont="1"/>
    <xf numFmtId="17" fontId="18" fillId="5" borderId="17" xfId="0" applyNumberFormat="1" applyFont="1" applyFill="1" applyBorder="1" applyAlignment="1">
      <alignment horizontal="center" vertical="center" wrapText="1"/>
    </xf>
    <xf numFmtId="0" fontId="14" fillId="5" borderId="17" xfId="18" applyFont="1" applyFill="1" applyBorder="1" applyAlignment="1">
      <alignment horizontal="center" vertical="center" wrapText="1"/>
    </xf>
    <xf numFmtId="2" fontId="18" fillId="5" borderId="17" xfId="0" applyNumberFormat="1" applyFont="1" applyFill="1" applyBorder="1" applyAlignment="1">
      <alignment horizontal="center" vertical="center" wrapText="1"/>
    </xf>
    <xf numFmtId="3" fontId="19" fillId="0" borderId="17" xfId="0" applyNumberFormat="1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 indent="1"/>
    </xf>
    <xf numFmtId="4" fontId="19" fillId="0" borderId="17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 indent="5"/>
    </xf>
    <xf numFmtId="3" fontId="23" fillId="0" borderId="17" xfId="0" applyNumberFormat="1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/>
    </xf>
    <xf numFmtId="4" fontId="23" fillId="0" borderId="17" xfId="0" applyNumberFormat="1" applyFont="1" applyBorder="1" applyAlignment="1">
      <alignment horizontal="center" vertical="center" wrapText="1"/>
    </xf>
    <xf numFmtId="3" fontId="30" fillId="0" borderId="17" xfId="0" applyNumberFormat="1" applyFont="1" applyBorder="1" applyAlignment="1">
      <alignment horizontal="center" vertical="center"/>
    </xf>
    <xf numFmtId="3" fontId="24" fillId="0" borderId="17" xfId="0" applyNumberFormat="1" applyFont="1" applyBorder="1" applyAlignment="1">
      <alignment horizontal="center" vertical="center" wrapText="1"/>
    </xf>
    <xf numFmtId="4" fontId="24" fillId="0" borderId="17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 indent="1"/>
    </xf>
    <xf numFmtId="3" fontId="0" fillId="0" borderId="17" xfId="0" applyNumberFormat="1" applyBorder="1" applyAlignment="1">
      <alignment horizontal="center" vertical="center"/>
    </xf>
    <xf numFmtId="0" fontId="20" fillId="0" borderId="17" xfId="6" applyFont="1" applyBorder="1" applyAlignment="1">
      <alignment vertical="center" wrapText="1" indent="1"/>
    </xf>
    <xf numFmtId="0" fontId="19" fillId="0" borderId="17" xfId="0" applyFont="1" applyBorder="1" applyAlignment="1">
      <alignment vertical="center" wrapText="1" indent="1"/>
    </xf>
    <xf numFmtId="0" fontId="12" fillId="0" borderId="17" xfId="0" applyFont="1" applyBorder="1" applyAlignment="1">
      <alignment vertical="center" wrapText="1" indent="4"/>
    </xf>
    <xf numFmtId="3" fontId="12" fillId="0" borderId="17" xfId="0" applyNumberFormat="1" applyFont="1" applyBorder="1" applyAlignment="1">
      <alignment horizontal="center" vertical="center" wrapText="1"/>
    </xf>
    <xf numFmtId="0" fontId="15" fillId="0" borderId="17" xfId="6" applyFont="1" applyBorder="1" applyAlignment="1">
      <alignment horizontal="left" vertical="center" wrapText="1" indent="1"/>
    </xf>
    <xf numFmtId="0" fontId="16" fillId="0" borderId="17" xfId="6" applyFont="1" applyBorder="1" applyAlignment="1">
      <alignment horizontal="left" vertical="center" wrapText="1" indent="2"/>
    </xf>
    <xf numFmtId="0" fontId="2" fillId="0" borderId="17" xfId="6" applyFont="1" applyBorder="1" applyAlignment="1">
      <alignment horizontal="left" vertical="center" wrapText="1" indent="4"/>
    </xf>
    <xf numFmtId="0" fontId="20" fillId="0" borderId="17" xfId="6" applyFont="1" applyBorder="1" applyAlignment="1">
      <alignment horizontal="left" vertical="center" wrapText="1" indent="1"/>
    </xf>
    <xf numFmtId="164" fontId="19" fillId="0" borderId="17" xfId="0" applyNumberFormat="1" applyFont="1" applyBorder="1" applyAlignment="1">
      <alignment horizontal="center" vertical="center" wrapText="1"/>
    </xf>
    <xf numFmtId="3" fontId="19" fillId="0" borderId="17" xfId="6" applyNumberFormat="1" applyFont="1" applyBorder="1" applyAlignment="1">
      <alignment horizontal="center" vertical="center" wrapText="1"/>
    </xf>
    <xf numFmtId="164" fontId="19" fillId="0" borderId="17" xfId="6" applyNumberFormat="1" applyFont="1" applyBorder="1" applyAlignment="1">
      <alignment horizontal="center" vertical="center" wrapText="1"/>
    </xf>
    <xf numFmtId="164" fontId="19" fillId="0" borderId="17" xfId="18" applyNumberFormat="1" applyFont="1" applyBorder="1" applyAlignment="1">
      <alignment horizontal="center" vertical="center" wrapText="1"/>
    </xf>
    <xf numFmtId="3" fontId="23" fillId="0" borderId="17" xfId="6" applyNumberFormat="1" applyFont="1" applyBorder="1" applyAlignment="1">
      <alignment horizontal="center" vertical="center" wrapText="1"/>
    </xf>
    <xf numFmtId="164" fontId="23" fillId="0" borderId="17" xfId="6" applyNumberFormat="1" applyFont="1" applyBorder="1" applyAlignment="1">
      <alignment horizontal="center" vertical="center" wrapText="1"/>
    </xf>
    <xf numFmtId="164" fontId="23" fillId="0" borderId="17" xfId="18" applyNumberFormat="1" applyFont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8" fillId="8" borderId="1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 vertical="top" wrapText="1"/>
    </xf>
    <xf numFmtId="0" fontId="2" fillId="7" borderId="15" xfId="0" applyFont="1" applyFill="1" applyBorder="1"/>
    <xf numFmtId="0" fontId="16" fillId="0" borderId="12" xfId="0" applyFont="1" applyBorder="1" applyAlignment="1">
      <alignment horizontal="left" vertical="center" wrapText="1" indent="2"/>
    </xf>
    <xf numFmtId="3" fontId="16" fillId="0" borderId="12" xfId="0" applyNumberFormat="1" applyFont="1" applyBorder="1" applyAlignment="1">
      <alignment horizontal="center" vertical="center" wrapText="1"/>
    </xf>
    <xf numFmtId="2" fontId="16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 indent="4"/>
    </xf>
    <xf numFmtId="3" fontId="21" fillId="0" borderId="13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13" xfId="0" applyNumberFormat="1" applyFont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3" fontId="31" fillId="0" borderId="17" xfId="0" applyNumberFormat="1" applyFont="1" applyBorder="1" applyAlignment="1">
      <alignment horizontal="center" vertical="center"/>
    </xf>
    <xf numFmtId="4" fontId="31" fillId="0" borderId="17" xfId="0" applyNumberFormat="1" applyFont="1" applyBorder="1" applyAlignment="1">
      <alignment horizontal="center" vertical="center"/>
    </xf>
    <xf numFmtId="0" fontId="32" fillId="0" borderId="0" xfId="6" applyFont="1"/>
    <xf numFmtId="0" fontId="33" fillId="0" borderId="0" xfId="6" applyFont="1"/>
    <xf numFmtId="0" fontId="6" fillId="4" borderId="0" xfId="18" applyFont="1" applyFill="1"/>
    <xf numFmtId="0" fontId="6" fillId="0" borderId="0" xfId="18" applyFont="1"/>
    <xf numFmtId="3" fontId="16" fillId="0" borderId="0" xfId="18" applyNumberFormat="1" applyFont="1"/>
    <xf numFmtId="4" fontId="15" fillId="0" borderId="17" xfId="18" applyNumberFormat="1" applyFont="1" applyBorder="1" applyAlignment="1">
      <alignment horizontal="center" vertical="center" wrapText="1"/>
    </xf>
    <xf numFmtId="3" fontId="4" fillId="0" borderId="27" xfId="4" applyNumberFormat="1" applyBorder="1" applyAlignment="1">
      <alignment horizontal="center" vertical="center"/>
    </xf>
    <xf numFmtId="3" fontId="15" fillId="0" borderId="17" xfId="6" applyNumberFormat="1" applyFont="1" applyBorder="1" applyAlignment="1">
      <alignment horizontal="center" vertical="center" wrapText="1"/>
    </xf>
    <xf numFmtId="4" fontId="16" fillId="0" borderId="12" xfId="0" applyNumberFormat="1" applyFont="1" applyBorder="1" applyAlignment="1">
      <alignment horizontal="center" vertical="center" wrapText="1"/>
    </xf>
    <xf numFmtId="4" fontId="21" fillId="0" borderId="13" xfId="0" applyNumberFormat="1" applyFont="1" applyBorder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27" fillId="8" borderId="13" xfId="0" applyFont="1" applyFill="1" applyBorder="1" applyAlignment="1">
      <alignment horizontal="center" vertical="center" wrapText="1"/>
    </xf>
    <xf numFmtId="0" fontId="28" fillId="8" borderId="13" xfId="0" applyFont="1" applyFill="1" applyBorder="1" applyAlignment="1">
      <alignment horizontal="center" vertical="center" wrapText="1"/>
    </xf>
    <xf numFmtId="4" fontId="31" fillId="0" borderId="20" xfId="0" applyNumberFormat="1" applyFont="1" applyBorder="1" applyAlignment="1">
      <alignment horizontal="center" vertical="center"/>
    </xf>
    <xf numFmtId="4" fontId="29" fillId="0" borderId="11" xfId="0" applyNumberFormat="1" applyFont="1" applyBorder="1" applyAlignment="1">
      <alignment horizontal="center" vertical="center" wrapText="1"/>
    </xf>
    <xf numFmtId="3" fontId="31" fillId="0" borderId="20" xfId="0" applyNumberFormat="1" applyFont="1" applyBorder="1" applyAlignment="1">
      <alignment horizontal="center" vertical="center"/>
    </xf>
    <xf numFmtId="3" fontId="34" fillId="0" borderId="13" xfId="0" applyNumberFormat="1" applyFont="1" applyBorder="1" applyAlignment="1">
      <alignment horizontal="center" vertical="center" wrapText="1"/>
    </xf>
    <xf numFmtId="4" fontId="2" fillId="0" borderId="3" xfId="6" applyNumberFormat="1" applyFont="1" applyBorder="1" applyAlignment="1">
      <alignment horizontal="center" vertical="center" wrapText="1"/>
    </xf>
    <xf numFmtId="4" fontId="2" fillId="0" borderId="2" xfId="6" applyNumberFormat="1" applyFont="1" applyBorder="1" applyAlignment="1">
      <alignment horizontal="center" vertical="center" wrapText="1"/>
    </xf>
    <xf numFmtId="4" fontId="2" fillId="0" borderId="27" xfId="4" applyNumberFormat="1" applyFont="1" applyBorder="1" applyAlignment="1">
      <alignment horizontal="center" vertical="center"/>
    </xf>
    <xf numFmtId="17" fontId="18" fillId="5" borderId="25" xfId="0" applyNumberFormat="1" applyFont="1" applyFill="1" applyBorder="1" applyAlignment="1">
      <alignment horizontal="center" vertical="center" wrapText="1"/>
    </xf>
    <xf numFmtId="8" fontId="2" fillId="0" borderId="13" xfId="0" applyNumberFormat="1" applyFont="1" applyBorder="1" applyAlignment="1">
      <alignment horizontal="center" vertical="center" wrapText="1"/>
    </xf>
    <xf numFmtId="8" fontId="2" fillId="0" borderId="12" xfId="0" applyNumberFormat="1" applyFont="1" applyBorder="1" applyAlignment="1">
      <alignment horizontal="center" vertical="center" wrapText="1"/>
    </xf>
    <xf numFmtId="3" fontId="0" fillId="4" borderId="0" xfId="0" applyNumberFormat="1" applyFill="1"/>
    <xf numFmtId="3" fontId="0" fillId="0" borderId="0" xfId="0" applyNumberFormat="1"/>
    <xf numFmtId="3" fontId="18" fillId="5" borderId="17" xfId="0" applyNumberFormat="1" applyFont="1" applyFill="1" applyBorder="1" applyAlignment="1">
      <alignment horizontal="center" vertical="center" wrapText="1"/>
    </xf>
    <xf numFmtId="49" fontId="18" fillId="5" borderId="17" xfId="0" applyNumberFormat="1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27" fillId="8" borderId="29" xfId="0" applyFont="1" applyFill="1" applyBorder="1" applyAlignment="1">
      <alignment horizontal="center" vertical="center" wrapText="1"/>
    </xf>
    <xf numFmtId="0" fontId="27" fillId="8" borderId="30" xfId="0" applyFont="1" applyFill="1" applyBorder="1" applyAlignment="1">
      <alignment horizontal="center" vertical="center" wrapText="1"/>
    </xf>
    <xf numFmtId="0" fontId="27" fillId="8" borderId="31" xfId="0" applyFont="1" applyFill="1" applyBorder="1" applyAlignment="1">
      <alignment horizontal="center" vertical="center" wrapText="1"/>
    </xf>
    <xf numFmtId="0" fontId="27" fillId="8" borderId="28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center" vertical="center" wrapText="1"/>
    </xf>
    <xf numFmtId="0" fontId="27" fillId="8" borderId="32" xfId="0" applyFont="1" applyFill="1" applyBorder="1" applyAlignment="1">
      <alignment horizontal="center" vertical="center" wrapText="1"/>
    </xf>
    <xf numFmtId="49" fontId="18" fillId="5" borderId="33" xfId="0" applyNumberFormat="1" applyFont="1" applyFill="1" applyBorder="1" applyAlignment="1">
      <alignment horizontal="center" vertical="center" wrapText="1"/>
    </xf>
    <xf numFmtId="49" fontId="18" fillId="5" borderId="0" xfId="0" applyNumberFormat="1" applyFont="1" applyFill="1" applyAlignment="1">
      <alignment horizontal="center" vertical="center" wrapText="1"/>
    </xf>
    <xf numFmtId="49" fontId="18" fillId="5" borderId="34" xfId="0" applyNumberFormat="1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 vertical="center" wrapText="1"/>
    </xf>
    <xf numFmtId="49" fontId="18" fillId="5" borderId="20" xfId="0" applyNumberFormat="1" applyFont="1" applyFill="1" applyBorder="1" applyAlignment="1">
      <alignment horizontal="center" vertical="center" wrapText="1"/>
    </xf>
    <xf numFmtId="49" fontId="18" fillId="5" borderId="21" xfId="0" applyNumberFormat="1" applyFont="1" applyFill="1" applyBorder="1" applyAlignment="1">
      <alignment horizontal="center" vertical="center" wrapText="1"/>
    </xf>
    <xf numFmtId="49" fontId="18" fillId="5" borderId="22" xfId="0" applyNumberFormat="1" applyFont="1" applyFill="1" applyBorder="1" applyAlignment="1">
      <alignment horizontal="center" vertical="center" wrapText="1"/>
    </xf>
    <xf numFmtId="49" fontId="18" fillId="5" borderId="19" xfId="0" applyNumberFormat="1" applyFont="1" applyFill="1" applyBorder="1" applyAlignment="1">
      <alignment horizontal="center" vertical="center" wrapText="1"/>
    </xf>
    <xf numFmtId="0" fontId="18" fillId="5" borderId="17" xfId="18" applyFont="1" applyFill="1" applyBorder="1" applyAlignment="1">
      <alignment horizontal="center" vertical="center" wrapText="1"/>
    </xf>
    <xf numFmtId="49" fontId="18" fillId="4" borderId="23" xfId="0" applyNumberFormat="1" applyFont="1" applyFill="1" applyBorder="1" applyAlignment="1">
      <alignment horizontal="center" vertical="center" wrapText="1"/>
    </xf>
    <xf numFmtId="49" fontId="18" fillId="4" borderId="24" xfId="0" applyNumberFormat="1" applyFont="1" applyFill="1" applyBorder="1" applyAlignment="1">
      <alignment horizontal="center" vertical="center" wrapText="1"/>
    </xf>
    <xf numFmtId="0" fontId="18" fillId="5" borderId="25" xfId="18" applyFont="1" applyFill="1" applyBorder="1" applyAlignment="1">
      <alignment horizontal="center" vertical="center" wrapText="1"/>
    </xf>
    <xf numFmtId="0" fontId="18" fillId="5" borderId="26" xfId="18" applyFont="1" applyFill="1" applyBorder="1" applyAlignment="1">
      <alignment horizontal="center" vertical="center" wrapText="1"/>
    </xf>
    <xf numFmtId="17" fontId="28" fillId="8" borderId="8" xfId="0" quotePrefix="1" applyNumberFormat="1" applyFont="1" applyFill="1" applyBorder="1" applyAlignment="1">
      <alignment horizontal="center" vertical="center" wrapText="1"/>
    </xf>
    <xf numFmtId="17" fontId="28" fillId="8" borderId="9" xfId="0" applyNumberFormat="1" applyFont="1" applyFill="1" applyBorder="1" applyAlignment="1">
      <alignment horizontal="center" vertical="center" wrapText="1"/>
    </xf>
    <xf numFmtId="17" fontId="28" fillId="8" borderId="10" xfId="0" applyNumberFormat="1" applyFont="1" applyFill="1" applyBorder="1" applyAlignment="1">
      <alignment horizontal="center" vertical="center" wrapText="1"/>
    </xf>
    <xf numFmtId="17" fontId="28" fillId="8" borderId="8" xfId="0" applyNumberFormat="1" applyFont="1" applyFill="1" applyBorder="1" applyAlignment="1">
      <alignment horizontal="center" vertical="center" wrapText="1"/>
    </xf>
    <xf numFmtId="0" fontId="2" fillId="7" borderId="0" xfId="0" applyFont="1" applyFill="1"/>
    <xf numFmtId="0" fontId="2" fillId="0" borderId="0" xfId="0" applyFont="1"/>
    <xf numFmtId="0" fontId="27" fillId="8" borderId="6" xfId="0" applyFont="1" applyFill="1" applyBorder="1" applyAlignment="1">
      <alignment horizontal="center" vertical="center" wrapText="1"/>
    </xf>
    <xf numFmtId="0" fontId="27" fillId="8" borderId="7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2" fillId="7" borderId="14" xfId="0" applyFont="1" applyFill="1" applyBorder="1"/>
  </cellXfs>
  <cellStyles count="20">
    <cellStyle name="Hiperlink 2" xfId="1" xr:uid="{00000000-0005-0000-0000-000001000000}"/>
    <cellStyle name="Hiperlink Visitado 2" xfId="2" xr:uid="{00000000-0005-0000-0000-000002000000}"/>
    <cellStyle name="Normal" xfId="0" builtinId="0"/>
    <cellStyle name="Normal 2" xfId="3" xr:uid="{00000000-0005-0000-0000-000004000000}"/>
    <cellStyle name="Normal 2 2" xfId="19" xr:uid="{0AA0A398-79CD-4AA2-90B6-118161C3D33D}"/>
    <cellStyle name="Normal 3" xfId="4" xr:uid="{00000000-0005-0000-0000-000005000000}"/>
    <cellStyle name="Normal 3 2" xfId="15" xr:uid="{00000000-0005-0000-0000-000006000000}"/>
    <cellStyle name="Normal 3 3" xfId="17" xr:uid="{D998D6A5-DBF0-4C56-9FEE-9D7C184504EB}"/>
    <cellStyle name="Normal 4" xfId="5" xr:uid="{00000000-0005-0000-0000-000007000000}"/>
    <cellStyle name="Normal 5" xfId="6" xr:uid="{00000000-0005-0000-0000-000008000000}"/>
    <cellStyle name="Normal 5 2" xfId="18" xr:uid="{191C9AC0-48F4-4165-8502-4B3A3C734F3A}"/>
    <cellStyle name="Nota 2" xfId="7" xr:uid="{00000000-0005-0000-0000-000009000000}"/>
    <cellStyle name="Nota 3" xfId="8" xr:uid="{00000000-0005-0000-0000-00000A000000}"/>
    <cellStyle name="Porcentagem" xfId="16" builtinId="5"/>
    <cellStyle name="Porcentagem 2" xfId="9" xr:uid="{00000000-0005-0000-0000-00000C000000}"/>
    <cellStyle name="Separador de milhares 2" xfId="10" xr:uid="{00000000-0005-0000-0000-00000D000000}"/>
    <cellStyle name="Vírgula 2" xfId="11" xr:uid="{00000000-0005-0000-0000-00000E000000}"/>
    <cellStyle name="Vírgula 3" xfId="12" xr:uid="{00000000-0005-0000-0000-00000F000000}"/>
    <cellStyle name="Vírgula 4" xfId="13" xr:uid="{00000000-0005-0000-0000-000010000000}"/>
    <cellStyle name="Vírgula 5" xfId="1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"/>
  <sheetViews>
    <sheetView showGridLines="0" tabSelected="1" zoomScaleNormal="10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B9" sqref="B9"/>
    </sheetView>
  </sheetViews>
  <sheetFormatPr defaultColWidth="9.140625" defaultRowHeight="16.5" customHeight="1"/>
  <cols>
    <col min="1" max="1" width="0.7109375" style="1" customWidth="1"/>
    <col min="2" max="2" width="52.5703125" style="1" customWidth="1"/>
    <col min="3" max="10" width="17" style="1" customWidth="1"/>
    <col min="11" max="11" width="16.28515625" style="1" customWidth="1"/>
    <col min="12" max="12" width="17.28515625" style="1" customWidth="1"/>
    <col min="13" max="13" width="14.85546875" style="1" customWidth="1"/>
    <col min="14" max="14" width="17" style="1" customWidth="1"/>
    <col min="15" max="15" width="0.7109375" style="1" customWidth="1"/>
    <col min="16" max="16384" width="9.140625" style="1"/>
  </cols>
  <sheetData>
    <row r="1" spans="1:15" ht="8.25" customHeight="1"/>
    <row r="2" spans="1:15" ht="18.75" customHeight="1">
      <c r="B2" s="9" t="s">
        <v>152</v>
      </c>
    </row>
    <row r="3" spans="1:15" ht="15" customHeight="1">
      <c r="B3" s="16"/>
      <c r="C3" s="2"/>
      <c r="D3" s="2"/>
      <c r="E3" s="2"/>
      <c r="F3" s="2"/>
      <c r="G3" s="2"/>
      <c r="H3" s="2"/>
      <c r="I3" s="2"/>
      <c r="J3" s="2"/>
    </row>
    <row r="4" spans="1:15" ht="3.95" customHeight="1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32.25" customHeight="1">
      <c r="A5" s="8"/>
      <c r="B5" s="121" t="s">
        <v>0</v>
      </c>
      <c r="C5" s="121" t="s">
        <v>151</v>
      </c>
      <c r="D5" s="121"/>
      <c r="E5" s="121"/>
      <c r="F5" s="121"/>
      <c r="G5" s="126" t="s">
        <v>1</v>
      </c>
      <c r="H5" s="127"/>
      <c r="I5" s="127"/>
      <c r="J5" s="128"/>
      <c r="K5" s="123" t="s">
        <v>149</v>
      </c>
      <c r="L5" s="124"/>
      <c r="M5" s="124"/>
      <c r="N5" s="125"/>
      <c r="O5" s="8"/>
    </row>
    <row r="6" spans="1:15" ht="32.25" customHeight="1">
      <c r="A6" s="8"/>
      <c r="B6" s="121"/>
      <c r="C6" s="50" t="s">
        <v>2</v>
      </c>
      <c r="D6" s="50" t="s">
        <v>3</v>
      </c>
      <c r="E6" s="50" t="s">
        <v>4</v>
      </c>
      <c r="F6" s="49" t="s">
        <v>5</v>
      </c>
      <c r="G6" s="106" t="s">
        <v>2</v>
      </c>
      <c r="H6" s="106" t="s">
        <v>3</v>
      </c>
      <c r="I6" s="106" t="s">
        <v>4</v>
      </c>
      <c r="J6" s="107" t="s">
        <v>5</v>
      </c>
      <c r="K6" s="50" t="s">
        <v>2</v>
      </c>
      <c r="L6" s="50" t="s">
        <v>3</v>
      </c>
      <c r="M6" s="50" t="s">
        <v>4</v>
      </c>
      <c r="N6" s="49" t="s">
        <v>5</v>
      </c>
      <c r="O6" s="8"/>
    </row>
    <row r="7" spans="1:15" ht="31.5" customHeight="1">
      <c r="A7" s="8"/>
      <c r="B7" s="73" t="s">
        <v>6</v>
      </c>
      <c r="C7" s="52">
        <v>2526660</v>
      </c>
      <c r="D7" s="52">
        <v>2298452</v>
      </c>
      <c r="E7" s="52">
        <v>228208</v>
      </c>
      <c r="F7" s="74">
        <v>0.46711838245391846</v>
      </c>
      <c r="G7" s="52">
        <v>7183013</v>
      </c>
      <c r="H7" s="52">
        <v>6569640</v>
      </c>
      <c r="I7" s="52">
        <v>613373</v>
      </c>
      <c r="J7" s="74">
        <v>1.2654886568210726</v>
      </c>
      <c r="K7" s="52">
        <v>26619920</v>
      </c>
      <c r="L7" s="52">
        <v>25408465</v>
      </c>
      <c r="M7" s="52">
        <v>1211455</v>
      </c>
      <c r="N7" s="74">
        <v>2.5306562848598317</v>
      </c>
      <c r="O7" s="8"/>
    </row>
    <row r="8" spans="1:15" s="15" customFormat="1" ht="31.5" customHeight="1">
      <c r="A8" s="13"/>
      <c r="B8" s="53" t="s">
        <v>7</v>
      </c>
      <c r="C8" s="52">
        <v>109101</v>
      </c>
      <c r="D8" s="52">
        <v>127197</v>
      </c>
      <c r="E8" s="52">
        <v>-18096</v>
      </c>
      <c r="F8" s="74">
        <v>-0.96692025661468506</v>
      </c>
      <c r="G8" s="52">
        <v>336963</v>
      </c>
      <c r="H8" s="52">
        <v>322211</v>
      </c>
      <c r="I8" s="52">
        <v>14752</v>
      </c>
      <c r="J8" s="74">
        <v>0.802322994831565</v>
      </c>
      <c r="K8" s="52">
        <v>1227784</v>
      </c>
      <c r="L8" s="52">
        <v>1223797</v>
      </c>
      <c r="M8" s="52">
        <v>3987</v>
      </c>
      <c r="N8" s="74">
        <v>0.2155804017030149</v>
      </c>
      <c r="O8" s="13"/>
    </row>
    <row r="9" spans="1:15" s="15" customFormat="1" ht="31.5" customHeight="1">
      <c r="A9" s="13"/>
      <c r="B9" s="53" t="s">
        <v>8</v>
      </c>
      <c r="C9" s="75">
        <v>386664</v>
      </c>
      <c r="D9" s="75">
        <v>358328</v>
      </c>
      <c r="E9" s="75">
        <v>28336</v>
      </c>
      <c r="F9" s="76">
        <v>0.30944564938545227</v>
      </c>
      <c r="G9" s="75">
        <v>1105041</v>
      </c>
      <c r="H9" s="75">
        <v>989731</v>
      </c>
      <c r="I9" s="75">
        <v>115310</v>
      </c>
      <c r="J9" s="76">
        <v>1.2713276206096418</v>
      </c>
      <c r="K9" s="75">
        <v>3968806</v>
      </c>
      <c r="L9" s="75">
        <v>3866171</v>
      </c>
      <c r="M9" s="75">
        <v>102635</v>
      </c>
      <c r="N9" s="76">
        <v>1.1300027822059051</v>
      </c>
      <c r="O9" s="13"/>
    </row>
    <row r="10" spans="1:15" ht="31.5" customHeight="1">
      <c r="A10" s="8"/>
      <c r="B10" s="55" t="s">
        <v>9</v>
      </c>
      <c r="C10" s="78">
        <v>7284</v>
      </c>
      <c r="D10" s="78">
        <v>5598</v>
      </c>
      <c r="E10" s="78">
        <v>1686</v>
      </c>
      <c r="F10" s="79">
        <v>0.57480472326278687</v>
      </c>
      <c r="G10" s="78">
        <v>19462</v>
      </c>
      <c r="H10" s="78">
        <v>16213</v>
      </c>
      <c r="I10" s="78">
        <v>3249</v>
      </c>
      <c r="J10" s="79">
        <v>1.1136094106678915</v>
      </c>
      <c r="K10" s="78">
        <v>76273</v>
      </c>
      <c r="L10" s="78">
        <v>66331</v>
      </c>
      <c r="M10" s="78">
        <v>9942</v>
      </c>
      <c r="N10" s="79">
        <v>3.4876745678995023</v>
      </c>
      <c r="O10" s="8"/>
    </row>
  </sheetData>
  <mergeCells count="4">
    <mergeCell ref="K5:N5"/>
    <mergeCell ref="B5:B6"/>
    <mergeCell ref="C5:F5"/>
    <mergeCell ref="G5:J5"/>
  </mergeCells>
  <printOptions horizontalCentered="1" verticalCentered="1"/>
  <pageMargins left="0" right="0" top="0" bottom="0" header="0.19" footer="0.18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0"/>
  <sheetViews>
    <sheetView showGridLines="0" zoomScaleNormal="10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ColWidth="9.140625" defaultRowHeight="16.5" customHeight="1"/>
  <cols>
    <col min="1" max="1" width="0.7109375" style="1" customWidth="1"/>
    <col min="2" max="2" width="50.5703125" style="1" customWidth="1"/>
    <col min="3" max="14" width="16.140625" style="1" customWidth="1"/>
    <col min="15" max="15" width="0.7109375" style="1" customWidth="1"/>
    <col min="16" max="16" width="11.42578125" style="1" customWidth="1"/>
    <col min="17" max="20" width="9.140625" style="1"/>
    <col min="21" max="21" width="13.28515625" style="1" bestFit="1" customWidth="1"/>
    <col min="22" max="16384" width="9.140625" style="1"/>
  </cols>
  <sheetData>
    <row r="1" spans="1:15" ht="8.25" customHeight="1">
      <c r="K1" s="39"/>
      <c r="L1" s="39"/>
      <c r="M1" s="39"/>
      <c r="N1" s="39"/>
    </row>
    <row r="2" spans="1:15" ht="15.75">
      <c r="B2" s="9" t="s">
        <v>153</v>
      </c>
      <c r="K2" s="39"/>
      <c r="L2" s="39"/>
      <c r="M2" s="39"/>
      <c r="N2" s="39"/>
    </row>
    <row r="3" spans="1:15" ht="15" customHeight="1">
      <c r="B3" s="2"/>
      <c r="C3" s="2"/>
      <c r="D3" s="2"/>
      <c r="E3" s="2"/>
      <c r="F3" s="2"/>
      <c r="G3" s="2"/>
      <c r="H3" s="2"/>
      <c r="I3" s="2"/>
      <c r="J3" s="2"/>
      <c r="K3" s="39"/>
      <c r="L3" s="39"/>
      <c r="M3" s="39"/>
      <c r="N3" s="39"/>
    </row>
    <row r="4" spans="1:15" ht="3.95" customHeight="1">
      <c r="A4" s="8"/>
      <c r="B4" s="7"/>
      <c r="C4" s="7"/>
      <c r="D4" s="7"/>
      <c r="E4" s="7"/>
      <c r="F4" s="7"/>
      <c r="G4" s="7"/>
      <c r="H4" s="7"/>
      <c r="I4" s="7"/>
      <c r="J4" s="7"/>
      <c r="K4" s="41"/>
      <c r="L4" s="42"/>
      <c r="M4" s="42"/>
      <c r="N4" s="42"/>
      <c r="O4" s="8"/>
    </row>
    <row r="5" spans="1:15" ht="32.25" customHeight="1">
      <c r="A5" s="8"/>
      <c r="B5" s="121" t="s">
        <v>11</v>
      </c>
      <c r="C5" s="121" t="s">
        <v>151</v>
      </c>
      <c r="D5" s="121"/>
      <c r="E5" s="121"/>
      <c r="F5" s="121"/>
      <c r="G5" s="129" t="s">
        <v>12</v>
      </c>
      <c r="H5" s="130"/>
      <c r="I5" s="130"/>
      <c r="J5" s="131"/>
      <c r="K5" s="123" t="s">
        <v>149</v>
      </c>
      <c r="L5" s="124"/>
      <c r="M5" s="124"/>
      <c r="N5" s="125"/>
      <c r="O5" s="8"/>
    </row>
    <row r="6" spans="1:15" ht="32.25" customHeight="1">
      <c r="A6" s="8"/>
      <c r="B6" s="121"/>
      <c r="C6" s="50" t="s">
        <v>2</v>
      </c>
      <c r="D6" s="50" t="s">
        <v>3</v>
      </c>
      <c r="E6" s="50" t="s">
        <v>4</v>
      </c>
      <c r="F6" s="49" t="s">
        <v>5</v>
      </c>
      <c r="G6" s="49" t="s">
        <v>2</v>
      </c>
      <c r="H6" s="49" t="s">
        <v>3</v>
      </c>
      <c r="I6" s="49" t="s">
        <v>4</v>
      </c>
      <c r="J6" s="49" t="s">
        <v>5</v>
      </c>
      <c r="K6" s="38" t="s">
        <v>2</v>
      </c>
      <c r="L6" s="38" t="s">
        <v>3</v>
      </c>
      <c r="M6" s="34" t="s">
        <v>4</v>
      </c>
      <c r="N6" s="34" t="s">
        <v>5</v>
      </c>
      <c r="O6" s="8"/>
    </row>
    <row r="7" spans="1:15" ht="31.5" customHeight="1" thickBot="1">
      <c r="A7" s="8"/>
      <c r="B7" s="70" t="s">
        <v>13</v>
      </c>
      <c r="C7" s="36">
        <v>2526660</v>
      </c>
      <c r="D7" s="36">
        <v>2298452</v>
      </c>
      <c r="E7" s="36">
        <v>228208</v>
      </c>
      <c r="F7" s="47">
        <v>0.46711838245391846</v>
      </c>
      <c r="G7" s="36">
        <v>7183013</v>
      </c>
      <c r="H7" s="36">
        <v>6569640</v>
      </c>
      <c r="I7" s="36">
        <v>613373</v>
      </c>
      <c r="J7" s="109">
        <v>1.2654886568210726</v>
      </c>
      <c r="K7" s="36">
        <v>26619920</v>
      </c>
      <c r="L7" s="36">
        <v>25408465</v>
      </c>
      <c r="M7" s="36">
        <v>1211455</v>
      </c>
      <c r="N7" s="109">
        <v>2.5306562848598317</v>
      </c>
      <c r="O7" s="8"/>
    </row>
    <row r="8" spans="1:15" s="15" customFormat="1" ht="31.5" customHeight="1" thickTop="1">
      <c r="A8" s="13"/>
      <c r="B8" s="71" t="s">
        <v>14</v>
      </c>
      <c r="C8" s="86">
        <v>115255</v>
      </c>
      <c r="D8" s="86">
        <v>107369</v>
      </c>
      <c r="E8" s="86">
        <v>7886</v>
      </c>
      <c r="F8" s="87">
        <v>0.31719702482223511</v>
      </c>
      <c r="G8" s="86">
        <v>335631</v>
      </c>
      <c r="H8" s="86">
        <v>313233</v>
      </c>
      <c r="I8" s="86">
        <v>22398</v>
      </c>
      <c r="J8" s="103">
        <v>0.90619993202893623</v>
      </c>
      <c r="K8" s="86">
        <v>1306425</v>
      </c>
      <c r="L8" s="86">
        <v>1225028</v>
      </c>
      <c r="M8" s="86">
        <v>81397</v>
      </c>
      <c r="N8" s="103">
        <v>3.3737717298180709</v>
      </c>
      <c r="O8" s="13"/>
    </row>
    <row r="9" spans="1:15" ht="31.5" customHeight="1">
      <c r="A9" s="8"/>
      <c r="B9" s="72" t="s">
        <v>15</v>
      </c>
      <c r="C9" s="89">
        <v>16050</v>
      </c>
      <c r="D9" s="89">
        <v>15496</v>
      </c>
      <c r="E9" s="89">
        <v>554</v>
      </c>
      <c r="F9" s="91">
        <v>0.18054188787937164</v>
      </c>
      <c r="G9" s="89">
        <v>46933</v>
      </c>
      <c r="H9" s="89">
        <v>44816</v>
      </c>
      <c r="I9" s="89">
        <v>2117</v>
      </c>
      <c r="J9" s="104">
        <v>0.69343675378573233</v>
      </c>
      <c r="K9" s="89">
        <v>175122</v>
      </c>
      <c r="L9" s="89">
        <v>167232</v>
      </c>
      <c r="M9" s="89">
        <v>7890</v>
      </c>
      <c r="N9" s="104">
        <v>2.63423233328214</v>
      </c>
      <c r="O9" s="8"/>
    </row>
    <row r="10" spans="1:15" ht="31.5" customHeight="1">
      <c r="A10" s="8"/>
      <c r="B10" s="72" t="s">
        <v>16</v>
      </c>
      <c r="C10" s="89">
        <v>5725</v>
      </c>
      <c r="D10" s="89">
        <v>4659</v>
      </c>
      <c r="E10" s="90">
        <v>1066</v>
      </c>
      <c r="F10" s="91">
        <v>0.92362344264984131</v>
      </c>
      <c r="G10" s="89">
        <v>15135</v>
      </c>
      <c r="H10" s="89">
        <v>14452</v>
      </c>
      <c r="I10" s="90">
        <v>683</v>
      </c>
      <c r="J10" s="104">
        <v>0.58982020414860359</v>
      </c>
      <c r="K10" s="89">
        <v>57914</v>
      </c>
      <c r="L10" s="89">
        <v>52747</v>
      </c>
      <c r="M10" s="90">
        <v>5167</v>
      </c>
      <c r="N10" s="104">
        <v>4.6418240293224571</v>
      </c>
      <c r="O10" s="8"/>
    </row>
  </sheetData>
  <mergeCells count="4">
    <mergeCell ref="K5:N5"/>
    <mergeCell ref="B5:B6"/>
    <mergeCell ref="C5:F5"/>
    <mergeCell ref="G5:J5"/>
  </mergeCells>
  <printOptions horizontalCentered="1" verticalCentered="1"/>
  <pageMargins left="0" right="0" top="0" bottom="0" header="0.19" footer="0.18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"/>
  <sheetViews>
    <sheetView showGridLines="0" workbookViewId="0">
      <pane xSplit="4" ySplit="6" topLeftCell="E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RowHeight="15"/>
  <cols>
    <col min="1" max="1" width="0.7109375" customWidth="1"/>
    <col min="2" max="3" width="17.140625" customWidth="1"/>
    <col min="4" max="4" width="33.42578125" customWidth="1"/>
    <col min="5" max="6" width="16.28515625" customWidth="1"/>
    <col min="7" max="8" width="16.140625" customWidth="1"/>
    <col min="9" max="11" width="16.140625" style="119" customWidth="1"/>
    <col min="12" max="16" width="16.140625" customWidth="1"/>
    <col min="17" max="17" width="0.7109375" customWidth="1"/>
    <col min="244" max="244" width="33.42578125" bestFit="1" customWidth="1"/>
    <col min="245" max="262" width="12" customWidth="1"/>
    <col min="264" max="264" width="33.42578125" bestFit="1" customWidth="1"/>
    <col min="265" max="265" width="10.5703125" customWidth="1"/>
    <col min="266" max="266" width="24.42578125" customWidth="1"/>
    <col min="267" max="267" width="17.5703125" customWidth="1"/>
    <col min="500" max="500" width="33.42578125" bestFit="1" customWidth="1"/>
    <col min="501" max="518" width="12" customWidth="1"/>
    <col min="520" max="520" width="33.42578125" bestFit="1" customWidth="1"/>
    <col min="521" max="521" width="10.5703125" customWidth="1"/>
    <col min="522" max="522" width="24.42578125" customWidth="1"/>
    <col min="523" max="523" width="17.5703125" customWidth="1"/>
    <col min="756" max="756" width="33.42578125" bestFit="1" customWidth="1"/>
    <col min="757" max="774" width="12" customWidth="1"/>
    <col min="776" max="776" width="33.42578125" bestFit="1" customWidth="1"/>
    <col min="777" max="777" width="10.5703125" customWidth="1"/>
    <col min="778" max="778" width="24.42578125" customWidth="1"/>
    <col min="779" max="779" width="17.5703125" customWidth="1"/>
    <col min="1012" max="1012" width="33.42578125" bestFit="1" customWidth="1"/>
    <col min="1013" max="1030" width="12" customWidth="1"/>
    <col min="1032" max="1032" width="33.42578125" bestFit="1" customWidth="1"/>
    <col min="1033" max="1033" width="10.5703125" customWidth="1"/>
    <col min="1034" max="1034" width="24.42578125" customWidth="1"/>
    <col min="1035" max="1035" width="17.5703125" customWidth="1"/>
    <col min="1268" max="1268" width="33.42578125" bestFit="1" customWidth="1"/>
    <col min="1269" max="1286" width="12" customWidth="1"/>
    <col min="1288" max="1288" width="33.42578125" bestFit="1" customWidth="1"/>
    <col min="1289" max="1289" width="10.5703125" customWidth="1"/>
    <col min="1290" max="1290" width="24.42578125" customWidth="1"/>
    <col min="1291" max="1291" width="17.5703125" customWidth="1"/>
    <col min="1524" max="1524" width="33.42578125" bestFit="1" customWidth="1"/>
    <col min="1525" max="1542" width="12" customWidth="1"/>
    <col min="1544" max="1544" width="33.42578125" bestFit="1" customWidth="1"/>
    <col min="1545" max="1545" width="10.5703125" customWidth="1"/>
    <col min="1546" max="1546" width="24.42578125" customWidth="1"/>
    <col min="1547" max="1547" width="17.5703125" customWidth="1"/>
    <col min="1780" max="1780" width="33.42578125" bestFit="1" customWidth="1"/>
    <col min="1781" max="1798" width="12" customWidth="1"/>
    <col min="1800" max="1800" width="33.42578125" bestFit="1" customWidth="1"/>
    <col min="1801" max="1801" width="10.5703125" customWidth="1"/>
    <col min="1802" max="1802" width="24.42578125" customWidth="1"/>
    <col min="1803" max="1803" width="17.5703125" customWidth="1"/>
    <col min="2036" max="2036" width="33.42578125" bestFit="1" customWidth="1"/>
    <col min="2037" max="2054" width="12" customWidth="1"/>
    <col min="2056" max="2056" width="33.42578125" bestFit="1" customWidth="1"/>
    <col min="2057" max="2057" width="10.5703125" customWidth="1"/>
    <col min="2058" max="2058" width="24.42578125" customWidth="1"/>
    <col min="2059" max="2059" width="17.5703125" customWidth="1"/>
    <col min="2292" max="2292" width="33.42578125" bestFit="1" customWidth="1"/>
    <col min="2293" max="2310" width="12" customWidth="1"/>
    <col min="2312" max="2312" width="33.42578125" bestFit="1" customWidth="1"/>
    <col min="2313" max="2313" width="10.5703125" customWidth="1"/>
    <col min="2314" max="2314" width="24.42578125" customWidth="1"/>
    <col min="2315" max="2315" width="17.5703125" customWidth="1"/>
    <col min="2548" max="2548" width="33.42578125" bestFit="1" customWidth="1"/>
    <col min="2549" max="2566" width="12" customWidth="1"/>
    <col min="2568" max="2568" width="33.42578125" bestFit="1" customWidth="1"/>
    <col min="2569" max="2569" width="10.5703125" customWidth="1"/>
    <col min="2570" max="2570" width="24.42578125" customWidth="1"/>
    <col min="2571" max="2571" width="17.5703125" customWidth="1"/>
    <col min="2804" max="2804" width="33.42578125" bestFit="1" customWidth="1"/>
    <col min="2805" max="2822" width="12" customWidth="1"/>
    <col min="2824" max="2824" width="33.42578125" bestFit="1" customWidth="1"/>
    <col min="2825" max="2825" width="10.5703125" customWidth="1"/>
    <col min="2826" max="2826" width="24.42578125" customWidth="1"/>
    <col min="2827" max="2827" width="17.5703125" customWidth="1"/>
    <col min="3060" max="3060" width="33.42578125" bestFit="1" customWidth="1"/>
    <col min="3061" max="3078" width="12" customWidth="1"/>
    <col min="3080" max="3080" width="33.42578125" bestFit="1" customWidth="1"/>
    <col min="3081" max="3081" width="10.5703125" customWidth="1"/>
    <col min="3082" max="3082" width="24.42578125" customWidth="1"/>
    <col min="3083" max="3083" width="17.5703125" customWidth="1"/>
    <col min="3316" max="3316" width="33.42578125" bestFit="1" customWidth="1"/>
    <col min="3317" max="3334" width="12" customWidth="1"/>
    <col min="3336" max="3336" width="33.42578125" bestFit="1" customWidth="1"/>
    <col min="3337" max="3337" width="10.5703125" customWidth="1"/>
    <col min="3338" max="3338" width="24.42578125" customWidth="1"/>
    <col min="3339" max="3339" width="17.5703125" customWidth="1"/>
    <col min="3572" max="3572" width="33.42578125" bestFit="1" customWidth="1"/>
    <col min="3573" max="3590" width="12" customWidth="1"/>
    <col min="3592" max="3592" width="33.42578125" bestFit="1" customWidth="1"/>
    <col min="3593" max="3593" width="10.5703125" customWidth="1"/>
    <col min="3594" max="3594" width="24.42578125" customWidth="1"/>
    <col min="3595" max="3595" width="17.5703125" customWidth="1"/>
    <col min="3828" max="3828" width="33.42578125" bestFit="1" customWidth="1"/>
    <col min="3829" max="3846" width="12" customWidth="1"/>
    <col min="3848" max="3848" width="33.42578125" bestFit="1" customWidth="1"/>
    <col min="3849" max="3849" width="10.5703125" customWidth="1"/>
    <col min="3850" max="3850" width="24.42578125" customWidth="1"/>
    <col min="3851" max="3851" width="17.5703125" customWidth="1"/>
    <col min="4084" max="4084" width="33.42578125" bestFit="1" customWidth="1"/>
    <col min="4085" max="4102" width="12" customWidth="1"/>
    <col min="4104" max="4104" width="33.42578125" bestFit="1" customWidth="1"/>
    <col min="4105" max="4105" width="10.5703125" customWidth="1"/>
    <col min="4106" max="4106" width="24.42578125" customWidth="1"/>
    <col min="4107" max="4107" width="17.5703125" customWidth="1"/>
    <col min="4340" max="4340" width="33.42578125" bestFit="1" customWidth="1"/>
    <col min="4341" max="4358" width="12" customWidth="1"/>
    <col min="4360" max="4360" width="33.42578125" bestFit="1" customWidth="1"/>
    <col min="4361" max="4361" width="10.5703125" customWidth="1"/>
    <col min="4362" max="4362" width="24.42578125" customWidth="1"/>
    <col min="4363" max="4363" width="17.5703125" customWidth="1"/>
    <col min="4596" max="4596" width="33.42578125" bestFit="1" customWidth="1"/>
    <col min="4597" max="4614" width="12" customWidth="1"/>
    <col min="4616" max="4616" width="33.42578125" bestFit="1" customWidth="1"/>
    <col min="4617" max="4617" width="10.5703125" customWidth="1"/>
    <col min="4618" max="4618" width="24.42578125" customWidth="1"/>
    <col min="4619" max="4619" width="17.5703125" customWidth="1"/>
    <col min="4852" max="4852" width="33.42578125" bestFit="1" customWidth="1"/>
    <col min="4853" max="4870" width="12" customWidth="1"/>
    <col min="4872" max="4872" width="33.42578125" bestFit="1" customWidth="1"/>
    <col min="4873" max="4873" width="10.5703125" customWidth="1"/>
    <col min="4874" max="4874" width="24.42578125" customWidth="1"/>
    <col min="4875" max="4875" width="17.5703125" customWidth="1"/>
    <col min="5108" max="5108" width="33.42578125" bestFit="1" customWidth="1"/>
    <col min="5109" max="5126" width="12" customWidth="1"/>
    <col min="5128" max="5128" width="33.42578125" bestFit="1" customWidth="1"/>
    <col min="5129" max="5129" width="10.5703125" customWidth="1"/>
    <col min="5130" max="5130" width="24.42578125" customWidth="1"/>
    <col min="5131" max="5131" width="17.5703125" customWidth="1"/>
    <col min="5364" max="5364" width="33.42578125" bestFit="1" customWidth="1"/>
    <col min="5365" max="5382" width="12" customWidth="1"/>
    <col min="5384" max="5384" width="33.42578125" bestFit="1" customWidth="1"/>
    <col min="5385" max="5385" width="10.5703125" customWidth="1"/>
    <col min="5386" max="5386" width="24.42578125" customWidth="1"/>
    <col min="5387" max="5387" width="17.5703125" customWidth="1"/>
    <col min="5620" max="5620" width="33.42578125" bestFit="1" customWidth="1"/>
    <col min="5621" max="5638" width="12" customWidth="1"/>
    <col min="5640" max="5640" width="33.42578125" bestFit="1" customWidth="1"/>
    <col min="5641" max="5641" width="10.5703125" customWidth="1"/>
    <col min="5642" max="5642" width="24.42578125" customWidth="1"/>
    <col min="5643" max="5643" width="17.5703125" customWidth="1"/>
    <col min="5876" max="5876" width="33.42578125" bestFit="1" customWidth="1"/>
    <col min="5877" max="5894" width="12" customWidth="1"/>
    <col min="5896" max="5896" width="33.42578125" bestFit="1" customWidth="1"/>
    <col min="5897" max="5897" width="10.5703125" customWidth="1"/>
    <col min="5898" max="5898" width="24.42578125" customWidth="1"/>
    <col min="5899" max="5899" width="17.5703125" customWidth="1"/>
    <col min="6132" max="6132" width="33.42578125" bestFit="1" customWidth="1"/>
    <col min="6133" max="6150" width="12" customWidth="1"/>
    <col min="6152" max="6152" width="33.42578125" bestFit="1" customWidth="1"/>
    <col min="6153" max="6153" width="10.5703125" customWidth="1"/>
    <col min="6154" max="6154" width="24.42578125" customWidth="1"/>
    <col min="6155" max="6155" width="17.5703125" customWidth="1"/>
    <col min="6388" max="6388" width="33.42578125" bestFit="1" customWidth="1"/>
    <col min="6389" max="6406" width="12" customWidth="1"/>
    <col min="6408" max="6408" width="33.42578125" bestFit="1" customWidth="1"/>
    <col min="6409" max="6409" width="10.5703125" customWidth="1"/>
    <col min="6410" max="6410" width="24.42578125" customWidth="1"/>
    <col min="6411" max="6411" width="17.5703125" customWidth="1"/>
    <col min="6644" max="6644" width="33.42578125" bestFit="1" customWidth="1"/>
    <col min="6645" max="6662" width="12" customWidth="1"/>
    <col min="6664" max="6664" width="33.42578125" bestFit="1" customWidth="1"/>
    <col min="6665" max="6665" width="10.5703125" customWidth="1"/>
    <col min="6666" max="6666" width="24.42578125" customWidth="1"/>
    <col min="6667" max="6667" width="17.5703125" customWidth="1"/>
    <col min="6900" max="6900" width="33.42578125" bestFit="1" customWidth="1"/>
    <col min="6901" max="6918" width="12" customWidth="1"/>
    <col min="6920" max="6920" width="33.42578125" bestFit="1" customWidth="1"/>
    <col min="6921" max="6921" width="10.5703125" customWidth="1"/>
    <col min="6922" max="6922" width="24.42578125" customWidth="1"/>
    <col min="6923" max="6923" width="17.5703125" customWidth="1"/>
    <col min="7156" max="7156" width="33.42578125" bestFit="1" customWidth="1"/>
    <col min="7157" max="7174" width="12" customWidth="1"/>
    <col min="7176" max="7176" width="33.42578125" bestFit="1" customWidth="1"/>
    <col min="7177" max="7177" width="10.5703125" customWidth="1"/>
    <col min="7178" max="7178" width="24.42578125" customWidth="1"/>
    <col min="7179" max="7179" width="17.5703125" customWidth="1"/>
    <col min="7412" max="7412" width="33.42578125" bestFit="1" customWidth="1"/>
    <col min="7413" max="7430" width="12" customWidth="1"/>
    <col min="7432" max="7432" width="33.42578125" bestFit="1" customWidth="1"/>
    <col min="7433" max="7433" width="10.5703125" customWidth="1"/>
    <col min="7434" max="7434" width="24.42578125" customWidth="1"/>
    <col min="7435" max="7435" width="17.5703125" customWidth="1"/>
    <col min="7668" max="7668" width="33.42578125" bestFit="1" customWidth="1"/>
    <col min="7669" max="7686" width="12" customWidth="1"/>
    <col min="7688" max="7688" width="33.42578125" bestFit="1" customWidth="1"/>
    <col min="7689" max="7689" width="10.5703125" customWidth="1"/>
    <col min="7690" max="7690" width="24.42578125" customWidth="1"/>
    <col min="7691" max="7691" width="17.5703125" customWidth="1"/>
    <col min="7924" max="7924" width="33.42578125" bestFit="1" customWidth="1"/>
    <col min="7925" max="7942" width="12" customWidth="1"/>
    <col min="7944" max="7944" width="33.42578125" bestFit="1" customWidth="1"/>
    <col min="7945" max="7945" width="10.5703125" customWidth="1"/>
    <col min="7946" max="7946" width="24.42578125" customWidth="1"/>
    <col min="7947" max="7947" width="17.5703125" customWidth="1"/>
    <col min="8180" max="8180" width="33.42578125" bestFit="1" customWidth="1"/>
    <col min="8181" max="8198" width="12" customWidth="1"/>
    <col min="8200" max="8200" width="33.42578125" bestFit="1" customWidth="1"/>
    <col min="8201" max="8201" width="10.5703125" customWidth="1"/>
    <col min="8202" max="8202" width="24.42578125" customWidth="1"/>
    <col min="8203" max="8203" width="17.5703125" customWidth="1"/>
    <col min="8436" max="8436" width="33.42578125" bestFit="1" customWidth="1"/>
    <col min="8437" max="8454" width="12" customWidth="1"/>
    <col min="8456" max="8456" width="33.42578125" bestFit="1" customWidth="1"/>
    <col min="8457" max="8457" width="10.5703125" customWidth="1"/>
    <col min="8458" max="8458" width="24.42578125" customWidth="1"/>
    <col min="8459" max="8459" width="17.5703125" customWidth="1"/>
    <col min="8692" max="8692" width="33.42578125" bestFit="1" customWidth="1"/>
    <col min="8693" max="8710" width="12" customWidth="1"/>
    <col min="8712" max="8712" width="33.42578125" bestFit="1" customWidth="1"/>
    <col min="8713" max="8713" width="10.5703125" customWidth="1"/>
    <col min="8714" max="8714" width="24.42578125" customWidth="1"/>
    <col min="8715" max="8715" width="17.5703125" customWidth="1"/>
    <col min="8948" max="8948" width="33.42578125" bestFit="1" customWidth="1"/>
    <col min="8949" max="8966" width="12" customWidth="1"/>
    <col min="8968" max="8968" width="33.42578125" bestFit="1" customWidth="1"/>
    <col min="8969" max="8969" width="10.5703125" customWidth="1"/>
    <col min="8970" max="8970" width="24.42578125" customWidth="1"/>
    <col min="8971" max="8971" width="17.5703125" customWidth="1"/>
    <col min="9204" max="9204" width="33.42578125" bestFit="1" customWidth="1"/>
    <col min="9205" max="9222" width="12" customWidth="1"/>
    <col min="9224" max="9224" width="33.42578125" bestFit="1" customWidth="1"/>
    <col min="9225" max="9225" width="10.5703125" customWidth="1"/>
    <col min="9226" max="9226" width="24.42578125" customWidth="1"/>
    <col min="9227" max="9227" width="17.5703125" customWidth="1"/>
    <col min="9460" max="9460" width="33.42578125" bestFit="1" customWidth="1"/>
    <col min="9461" max="9478" width="12" customWidth="1"/>
    <col min="9480" max="9480" width="33.42578125" bestFit="1" customWidth="1"/>
    <col min="9481" max="9481" width="10.5703125" customWidth="1"/>
    <col min="9482" max="9482" width="24.42578125" customWidth="1"/>
    <col min="9483" max="9483" width="17.5703125" customWidth="1"/>
    <col min="9716" max="9716" width="33.42578125" bestFit="1" customWidth="1"/>
    <col min="9717" max="9734" width="12" customWidth="1"/>
    <col min="9736" max="9736" width="33.42578125" bestFit="1" customWidth="1"/>
    <col min="9737" max="9737" width="10.5703125" customWidth="1"/>
    <col min="9738" max="9738" width="24.42578125" customWidth="1"/>
    <col min="9739" max="9739" width="17.5703125" customWidth="1"/>
    <col min="9972" max="9972" width="33.42578125" bestFit="1" customWidth="1"/>
    <col min="9973" max="9990" width="12" customWidth="1"/>
    <col min="9992" max="9992" width="33.42578125" bestFit="1" customWidth="1"/>
    <col min="9993" max="9993" width="10.5703125" customWidth="1"/>
    <col min="9994" max="9994" width="24.42578125" customWidth="1"/>
    <col min="9995" max="9995" width="17.5703125" customWidth="1"/>
    <col min="10228" max="10228" width="33.42578125" bestFit="1" customWidth="1"/>
    <col min="10229" max="10246" width="12" customWidth="1"/>
    <col min="10248" max="10248" width="33.42578125" bestFit="1" customWidth="1"/>
    <col min="10249" max="10249" width="10.5703125" customWidth="1"/>
    <col min="10250" max="10250" width="24.42578125" customWidth="1"/>
    <col min="10251" max="10251" width="17.5703125" customWidth="1"/>
    <col min="10484" max="10484" width="33.42578125" bestFit="1" customWidth="1"/>
    <col min="10485" max="10502" width="12" customWidth="1"/>
    <col min="10504" max="10504" width="33.42578125" bestFit="1" customWidth="1"/>
    <col min="10505" max="10505" width="10.5703125" customWidth="1"/>
    <col min="10506" max="10506" width="24.42578125" customWidth="1"/>
    <col min="10507" max="10507" width="17.5703125" customWidth="1"/>
    <col min="10740" max="10740" width="33.42578125" bestFit="1" customWidth="1"/>
    <col min="10741" max="10758" width="12" customWidth="1"/>
    <col min="10760" max="10760" width="33.42578125" bestFit="1" customWidth="1"/>
    <col min="10761" max="10761" width="10.5703125" customWidth="1"/>
    <col min="10762" max="10762" width="24.42578125" customWidth="1"/>
    <col min="10763" max="10763" width="17.5703125" customWidth="1"/>
    <col min="10996" max="10996" width="33.42578125" bestFit="1" customWidth="1"/>
    <col min="10997" max="11014" width="12" customWidth="1"/>
    <col min="11016" max="11016" width="33.42578125" bestFit="1" customWidth="1"/>
    <col min="11017" max="11017" width="10.5703125" customWidth="1"/>
    <col min="11018" max="11018" width="24.42578125" customWidth="1"/>
    <col min="11019" max="11019" width="17.5703125" customWidth="1"/>
    <col min="11252" max="11252" width="33.42578125" bestFit="1" customWidth="1"/>
    <col min="11253" max="11270" width="12" customWidth="1"/>
    <col min="11272" max="11272" width="33.42578125" bestFit="1" customWidth="1"/>
    <col min="11273" max="11273" width="10.5703125" customWidth="1"/>
    <col min="11274" max="11274" width="24.42578125" customWidth="1"/>
    <col min="11275" max="11275" width="17.5703125" customWidth="1"/>
    <col min="11508" max="11508" width="33.42578125" bestFit="1" customWidth="1"/>
    <col min="11509" max="11526" width="12" customWidth="1"/>
    <col min="11528" max="11528" width="33.42578125" bestFit="1" customWidth="1"/>
    <col min="11529" max="11529" width="10.5703125" customWidth="1"/>
    <col min="11530" max="11530" width="24.42578125" customWidth="1"/>
    <col min="11531" max="11531" width="17.5703125" customWidth="1"/>
    <col min="11764" max="11764" width="33.42578125" bestFit="1" customWidth="1"/>
    <col min="11765" max="11782" width="12" customWidth="1"/>
    <col min="11784" max="11784" width="33.42578125" bestFit="1" customWidth="1"/>
    <col min="11785" max="11785" width="10.5703125" customWidth="1"/>
    <col min="11786" max="11786" width="24.42578125" customWidth="1"/>
    <col min="11787" max="11787" width="17.5703125" customWidth="1"/>
    <col min="12020" max="12020" width="33.42578125" bestFit="1" customWidth="1"/>
    <col min="12021" max="12038" width="12" customWidth="1"/>
    <col min="12040" max="12040" width="33.42578125" bestFit="1" customWidth="1"/>
    <col min="12041" max="12041" width="10.5703125" customWidth="1"/>
    <col min="12042" max="12042" width="24.42578125" customWidth="1"/>
    <col min="12043" max="12043" width="17.5703125" customWidth="1"/>
    <col min="12276" max="12276" width="33.42578125" bestFit="1" customWidth="1"/>
    <col min="12277" max="12294" width="12" customWidth="1"/>
    <col min="12296" max="12296" width="33.42578125" bestFit="1" customWidth="1"/>
    <col min="12297" max="12297" width="10.5703125" customWidth="1"/>
    <col min="12298" max="12298" width="24.42578125" customWidth="1"/>
    <col min="12299" max="12299" width="17.5703125" customWidth="1"/>
    <col min="12532" max="12532" width="33.42578125" bestFit="1" customWidth="1"/>
    <col min="12533" max="12550" width="12" customWidth="1"/>
    <col min="12552" max="12552" width="33.42578125" bestFit="1" customWidth="1"/>
    <col min="12553" max="12553" width="10.5703125" customWidth="1"/>
    <col min="12554" max="12554" width="24.42578125" customWidth="1"/>
    <col min="12555" max="12555" width="17.5703125" customWidth="1"/>
    <col min="12788" max="12788" width="33.42578125" bestFit="1" customWidth="1"/>
    <col min="12789" max="12806" width="12" customWidth="1"/>
    <col min="12808" max="12808" width="33.42578125" bestFit="1" customWidth="1"/>
    <col min="12809" max="12809" width="10.5703125" customWidth="1"/>
    <col min="12810" max="12810" width="24.42578125" customWidth="1"/>
    <col min="12811" max="12811" width="17.5703125" customWidth="1"/>
    <col min="13044" max="13044" width="33.42578125" bestFit="1" customWidth="1"/>
    <col min="13045" max="13062" width="12" customWidth="1"/>
    <col min="13064" max="13064" width="33.42578125" bestFit="1" customWidth="1"/>
    <col min="13065" max="13065" width="10.5703125" customWidth="1"/>
    <col min="13066" max="13066" width="24.42578125" customWidth="1"/>
    <col min="13067" max="13067" width="17.5703125" customWidth="1"/>
    <col min="13300" max="13300" width="33.42578125" bestFit="1" customWidth="1"/>
    <col min="13301" max="13318" width="12" customWidth="1"/>
    <col min="13320" max="13320" width="33.42578125" bestFit="1" customWidth="1"/>
    <col min="13321" max="13321" width="10.5703125" customWidth="1"/>
    <col min="13322" max="13322" width="24.42578125" customWidth="1"/>
    <col min="13323" max="13323" width="17.5703125" customWidth="1"/>
    <col min="13556" max="13556" width="33.42578125" bestFit="1" customWidth="1"/>
    <col min="13557" max="13574" width="12" customWidth="1"/>
    <col min="13576" max="13576" width="33.42578125" bestFit="1" customWidth="1"/>
    <col min="13577" max="13577" width="10.5703125" customWidth="1"/>
    <col min="13578" max="13578" width="24.42578125" customWidth="1"/>
    <col min="13579" max="13579" width="17.5703125" customWidth="1"/>
    <col min="13812" max="13812" width="33.42578125" bestFit="1" customWidth="1"/>
    <col min="13813" max="13830" width="12" customWidth="1"/>
    <col min="13832" max="13832" width="33.42578125" bestFit="1" customWidth="1"/>
    <col min="13833" max="13833" width="10.5703125" customWidth="1"/>
    <col min="13834" max="13834" width="24.42578125" customWidth="1"/>
    <col min="13835" max="13835" width="17.5703125" customWidth="1"/>
    <col min="14068" max="14068" width="33.42578125" bestFit="1" customWidth="1"/>
    <col min="14069" max="14086" width="12" customWidth="1"/>
    <col min="14088" max="14088" width="33.42578125" bestFit="1" customWidth="1"/>
    <col min="14089" max="14089" width="10.5703125" customWidth="1"/>
    <col min="14090" max="14090" width="24.42578125" customWidth="1"/>
    <col min="14091" max="14091" width="17.5703125" customWidth="1"/>
    <col min="14324" max="14324" width="33.42578125" bestFit="1" customWidth="1"/>
    <col min="14325" max="14342" width="12" customWidth="1"/>
    <col min="14344" max="14344" width="33.42578125" bestFit="1" customWidth="1"/>
    <col min="14345" max="14345" width="10.5703125" customWidth="1"/>
    <col min="14346" max="14346" width="24.42578125" customWidth="1"/>
    <col min="14347" max="14347" width="17.5703125" customWidth="1"/>
    <col min="14580" max="14580" width="33.42578125" bestFit="1" customWidth="1"/>
    <col min="14581" max="14598" width="12" customWidth="1"/>
    <col min="14600" max="14600" width="33.42578125" bestFit="1" customWidth="1"/>
    <col min="14601" max="14601" width="10.5703125" customWidth="1"/>
    <col min="14602" max="14602" width="24.42578125" customWidth="1"/>
    <col min="14603" max="14603" width="17.5703125" customWidth="1"/>
    <col min="14836" max="14836" width="33.42578125" bestFit="1" customWidth="1"/>
    <col min="14837" max="14854" width="12" customWidth="1"/>
    <col min="14856" max="14856" width="33.42578125" bestFit="1" customWidth="1"/>
    <col min="14857" max="14857" width="10.5703125" customWidth="1"/>
    <col min="14858" max="14858" width="24.42578125" customWidth="1"/>
    <col min="14859" max="14859" width="17.5703125" customWidth="1"/>
    <col min="15092" max="15092" width="33.42578125" bestFit="1" customWidth="1"/>
    <col min="15093" max="15110" width="12" customWidth="1"/>
    <col min="15112" max="15112" width="33.42578125" bestFit="1" customWidth="1"/>
    <col min="15113" max="15113" width="10.5703125" customWidth="1"/>
    <col min="15114" max="15114" width="24.42578125" customWidth="1"/>
    <col min="15115" max="15115" width="17.5703125" customWidth="1"/>
    <col min="15348" max="15348" width="33.42578125" bestFit="1" customWidth="1"/>
    <col min="15349" max="15366" width="12" customWidth="1"/>
    <col min="15368" max="15368" width="33.42578125" bestFit="1" customWidth="1"/>
    <col min="15369" max="15369" width="10.5703125" customWidth="1"/>
    <col min="15370" max="15370" width="24.42578125" customWidth="1"/>
    <col min="15371" max="15371" width="17.5703125" customWidth="1"/>
    <col min="15604" max="15604" width="33.42578125" bestFit="1" customWidth="1"/>
    <col min="15605" max="15622" width="12" customWidth="1"/>
    <col min="15624" max="15624" width="33.42578125" bestFit="1" customWidth="1"/>
    <col min="15625" max="15625" width="10.5703125" customWidth="1"/>
    <col min="15626" max="15626" width="24.42578125" customWidth="1"/>
    <col min="15627" max="15627" width="17.5703125" customWidth="1"/>
    <col min="15860" max="15860" width="33.42578125" bestFit="1" customWidth="1"/>
    <col min="15861" max="15878" width="12" customWidth="1"/>
    <col min="15880" max="15880" width="33.42578125" bestFit="1" customWidth="1"/>
    <col min="15881" max="15881" width="10.5703125" customWidth="1"/>
    <col min="15882" max="15882" width="24.42578125" customWidth="1"/>
    <col min="15883" max="15883" width="17.5703125" customWidth="1"/>
    <col min="16116" max="16116" width="33.42578125" bestFit="1" customWidth="1"/>
    <col min="16117" max="16134" width="12" customWidth="1"/>
    <col min="16136" max="16136" width="33.42578125" bestFit="1" customWidth="1"/>
    <col min="16137" max="16137" width="10.5703125" customWidth="1"/>
    <col min="16138" max="16138" width="24.42578125" customWidth="1"/>
    <col min="16139" max="16139" width="17.5703125" customWidth="1"/>
  </cols>
  <sheetData>
    <row r="1" spans="1:17" s="1" customFormat="1" ht="8.25" customHeight="1">
      <c r="E1" s="21"/>
      <c r="F1" s="21"/>
      <c r="G1" s="21"/>
      <c r="H1" s="21"/>
      <c r="I1" s="25"/>
      <c r="J1" s="25"/>
      <c r="K1" s="25"/>
      <c r="L1" s="21"/>
      <c r="M1" s="21"/>
      <c r="N1" s="21"/>
      <c r="O1" s="21"/>
      <c r="P1" s="21"/>
    </row>
    <row r="2" spans="1:17" s="1" customFormat="1" ht="15.75">
      <c r="B2" s="9" t="s">
        <v>154</v>
      </c>
      <c r="C2" s="9"/>
      <c r="D2" s="9"/>
      <c r="E2" s="21"/>
      <c r="F2" s="21"/>
      <c r="G2" s="21"/>
      <c r="H2" s="21"/>
      <c r="I2" s="25"/>
      <c r="J2" s="25"/>
      <c r="K2" s="25"/>
      <c r="L2" s="21"/>
      <c r="M2" s="21"/>
      <c r="N2" s="21"/>
      <c r="O2" s="21"/>
      <c r="P2" s="21"/>
    </row>
    <row r="3" spans="1:17" s="10" customFormat="1" ht="14.25">
      <c r="I3" s="105"/>
      <c r="J3" s="105"/>
      <c r="K3" s="105"/>
    </row>
    <row r="4" spans="1:17" ht="3.95" customHeight="1">
      <c r="A4" s="6"/>
      <c r="B4" s="6"/>
      <c r="C4" s="6"/>
      <c r="D4" s="6"/>
      <c r="E4" s="6"/>
      <c r="F4" s="6"/>
      <c r="G4" s="6"/>
      <c r="H4" s="6"/>
      <c r="I4" s="118"/>
      <c r="J4" s="118"/>
      <c r="K4" s="118"/>
      <c r="L4" s="6"/>
      <c r="M4" s="6"/>
      <c r="N4" s="6"/>
      <c r="O4" s="6"/>
      <c r="P4" s="6"/>
      <c r="Q4" s="6"/>
    </row>
    <row r="5" spans="1:17">
      <c r="A5" s="6"/>
      <c r="B5" s="121" t="s">
        <v>42</v>
      </c>
      <c r="C5" s="121" t="s">
        <v>43</v>
      </c>
      <c r="D5" s="121" t="s">
        <v>44</v>
      </c>
      <c r="E5" s="133" t="s">
        <v>151</v>
      </c>
      <c r="F5" s="134"/>
      <c r="G5" s="134"/>
      <c r="H5" s="135"/>
      <c r="I5" s="129" t="s">
        <v>12</v>
      </c>
      <c r="J5" s="130"/>
      <c r="K5" s="130"/>
      <c r="L5" s="131"/>
      <c r="M5" s="126" t="s">
        <v>149</v>
      </c>
      <c r="N5" s="127"/>
      <c r="O5" s="127"/>
      <c r="P5" s="132"/>
      <c r="Q5" s="6"/>
    </row>
    <row r="6" spans="1:17" ht="30" customHeight="1">
      <c r="A6" s="6"/>
      <c r="B6" s="121"/>
      <c r="C6" s="121"/>
      <c r="D6" s="121"/>
      <c r="E6" s="49" t="s">
        <v>2</v>
      </c>
      <c r="F6" s="49" t="s">
        <v>3</v>
      </c>
      <c r="G6" s="49" t="s">
        <v>4</v>
      </c>
      <c r="H6" s="49" t="s">
        <v>5</v>
      </c>
      <c r="I6" s="120" t="s">
        <v>2</v>
      </c>
      <c r="J6" s="120" t="s">
        <v>3</v>
      </c>
      <c r="K6" s="120" t="s">
        <v>4</v>
      </c>
      <c r="L6" s="49" t="s">
        <v>5</v>
      </c>
      <c r="M6" s="49" t="s">
        <v>2</v>
      </c>
      <c r="N6" s="49" t="s">
        <v>3</v>
      </c>
      <c r="O6" s="49" t="s">
        <v>4</v>
      </c>
      <c r="P6" s="49" t="s">
        <v>5</v>
      </c>
      <c r="Q6" s="6"/>
    </row>
    <row r="7" spans="1:17" s="5" customFormat="1" ht="18" customHeight="1">
      <c r="A7" s="12"/>
      <c r="B7" s="63" t="s">
        <v>45</v>
      </c>
      <c r="C7" s="63">
        <v>110001</v>
      </c>
      <c r="D7" s="64" t="s">
        <v>46</v>
      </c>
      <c r="E7" s="59">
        <v>120</v>
      </c>
      <c r="F7" s="59">
        <v>122</v>
      </c>
      <c r="G7" s="59">
        <v>-2</v>
      </c>
      <c r="H7" s="94">
        <v>-8.2068115472793579E-2</v>
      </c>
      <c r="I7" s="93">
        <v>341</v>
      </c>
      <c r="J7" s="93">
        <v>328</v>
      </c>
      <c r="K7" s="93">
        <v>13</v>
      </c>
      <c r="L7" s="94">
        <v>0.53674649050371592</v>
      </c>
      <c r="M7" s="59">
        <v>1347</v>
      </c>
      <c r="N7" s="59">
        <v>1255</v>
      </c>
      <c r="O7" s="59">
        <v>92</v>
      </c>
      <c r="P7" s="94">
        <v>3.9265898420827998</v>
      </c>
      <c r="Q7" s="12"/>
    </row>
    <row r="8" spans="1:17" s="5" customFormat="1" ht="18" customHeight="1">
      <c r="A8" s="12"/>
      <c r="B8" s="63" t="s">
        <v>45</v>
      </c>
      <c r="C8" s="63">
        <v>110002</v>
      </c>
      <c r="D8" s="64" t="s">
        <v>47</v>
      </c>
      <c r="E8" s="65">
        <v>1151</v>
      </c>
      <c r="F8" s="65">
        <v>1092</v>
      </c>
      <c r="G8" s="65">
        <v>59</v>
      </c>
      <c r="H8" s="94">
        <v>0.29498526453971863</v>
      </c>
      <c r="I8" s="93">
        <v>3991</v>
      </c>
      <c r="J8" s="93">
        <v>3847</v>
      </c>
      <c r="K8" s="93">
        <v>144</v>
      </c>
      <c r="L8" s="94">
        <v>0.72303675436834702</v>
      </c>
      <c r="M8" s="59">
        <v>12828</v>
      </c>
      <c r="N8" s="59">
        <v>12733</v>
      </c>
      <c r="O8" s="59">
        <v>95</v>
      </c>
      <c r="P8" s="94">
        <v>0.47583270723766591</v>
      </c>
      <c r="Q8" s="12"/>
    </row>
    <row r="9" spans="1:17" s="5" customFormat="1" ht="18" customHeight="1">
      <c r="A9" s="12"/>
      <c r="B9" s="63" t="s">
        <v>45</v>
      </c>
      <c r="C9" s="63">
        <v>110003</v>
      </c>
      <c r="D9" s="64" t="s">
        <v>48</v>
      </c>
      <c r="E9" s="65">
        <v>10</v>
      </c>
      <c r="F9" s="65">
        <v>29</v>
      </c>
      <c r="G9" s="65">
        <v>-19</v>
      </c>
      <c r="H9" s="94">
        <v>-3.2534246444702148</v>
      </c>
      <c r="I9" s="93">
        <v>60</v>
      </c>
      <c r="J9" s="93">
        <v>59</v>
      </c>
      <c r="K9" s="93">
        <v>1</v>
      </c>
      <c r="L9" s="94">
        <v>0.1773049645390071</v>
      </c>
      <c r="M9" s="59">
        <v>173</v>
      </c>
      <c r="N9" s="59">
        <v>202</v>
      </c>
      <c r="O9" s="59">
        <v>-29</v>
      </c>
      <c r="P9" s="94">
        <v>-4.8821548821548824</v>
      </c>
      <c r="Q9" s="12"/>
    </row>
    <row r="10" spans="1:17" s="5" customFormat="1" ht="18" customHeight="1">
      <c r="A10" s="12"/>
      <c r="B10" s="63" t="s">
        <v>45</v>
      </c>
      <c r="C10" s="63">
        <v>110004</v>
      </c>
      <c r="D10" s="64" t="s">
        <v>49</v>
      </c>
      <c r="E10" s="65">
        <v>1096</v>
      </c>
      <c r="F10" s="65">
        <v>1151</v>
      </c>
      <c r="G10" s="65">
        <v>-55</v>
      </c>
      <c r="H10" s="94">
        <v>-0.29100528359413147</v>
      </c>
      <c r="I10" s="93">
        <v>3084</v>
      </c>
      <c r="J10" s="93">
        <v>3168</v>
      </c>
      <c r="K10" s="93">
        <v>-84</v>
      </c>
      <c r="L10" s="94">
        <v>-0.44376353742934121</v>
      </c>
      <c r="M10" s="59">
        <v>12073</v>
      </c>
      <c r="N10" s="59">
        <v>11922</v>
      </c>
      <c r="O10" s="59">
        <v>151</v>
      </c>
      <c r="P10" s="94">
        <v>0.80774580079169789</v>
      </c>
      <c r="Q10" s="12"/>
    </row>
  </sheetData>
  <autoFilter ref="B5:D6" xr:uid="{00000000-0001-0000-0900-000000000000}"/>
  <mergeCells count="6">
    <mergeCell ref="M5:P5"/>
    <mergeCell ref="B5:B6"/>
    <mergeCell ref="D5:D6"/>
    <mergeCell ref="C5:C6"/>
    <mergeCell ref="E5:H5"/>
    <mergeCell ref="I5:L5"/>
  </mergeCells>
  <pageMargins left="0.23622047244094491" right="0.23622047244094491" top="0.74803149606299213" bottom="0.74803149606299213" header="0.31496062992125984" footer="0.31496062992125984"/>
  <pageSetup paperSize="9" scale="50" orientation="portrait" r:id="rId1"/>
  <headerFooter>
    <oddFooter>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0CBF-1744-417D-A236-C1B379975D52}">
  <sheetPr>
    <pageSetUpPr fitToPage="1"/>
  </sheetPr>
  <dimension ref="A1:ED10"/>
  <sheetViews>
    <sheetView showGridLines="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ColWidth="9.140625" defaultRowHeight="21.75" customHeight="1"/>
  <cols>
    <col min="1" max="1" width="0.7109375" style="10" customWidth="1"/>
    <col min="2" max="2" width="53.140625" style="10" customWidth="1"/>
    <col min="3" max="31" width="19.140625" style="10" customWidth="1"/>
    <col min="32" max="32" width="0.7109375" style="10" customWidth="1"/>
    <col min="33" max="16384" width="9.140625" style="10"/>
  </cols>
  <sheetData>
    <row r="1" spans="1:134" s="1" customFormat="1" ht="8.25" customHeight="1"/>
    <row r="2" spans="1:134" s="1" customFormat="1" ht="15.75">
      <c r="B2" s="9" t="s">
        <v>155</v>
      </c>
    </row>
    <row r="3" spans="1:134" ht="13.5" customHeight="1"/>
    <row r="4" spans="1:134" ht="3.9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134" customFormat="1" ht="33" customHeight="1">
      <c r="A5" s="6"/>
      <c r="B5" s="136" t="s">
        <v>0</v>
      </c>
      <c r="C5" s="136" t="s">
        <v>50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6"/>
    </row>
    <row r="6" spans="1:134" customFormat="1" ht="33" customHeight="1">
      <c r="A6" s="6"/>
      <c r="B6" s="121"/>
      <c r="C6" s="49" t="s">
        <v>15</v>
      </c>
      <c r="D6" s="49" t="s">
        <v>16</v>
      </c>
      <c r="E6" s="49" t="s">
        <v>17</v>
      </c>
      <c r="F6" s="49" t="s">
        <v>18</v>
      </c>
      <c r="G6" s="49" t="s">
        <v>19</v>
      </c>
      <c r="H6" s="49" t="s">
        <v>20</v>
      </c>
      <c r="I6" s="49" t="s">
        <v>21</v>
      </c>
      <c r="J6" s="49" t="s">
        <v>22</v>
      </c>
      <c r="K6" s="49" t="s">
        <v>23</v>
      </c>
      <c r="L6" s="49" t="s">
        <v>24</v>
      </c>
      <c r="M6" s="49" t="s">
        <v>25</v>
      </c>
      <c r="N6" s="49" t="s">
        <v>26</v>
      </c>
      <c r="O6" s="49" t="s">
        <v>27</v>
      </c>
      <c r="P6" s="49" t="s">
        <v>28</v>
      </c>
      <c r="Q6" s="49" t="s">
        <v>29</v>
      </c>
      <c r="R6" s="49" t="s">
        <v>30</v>
      </c>
      <c r="S6" s="49" t="s">
        <v>31</v>
      </c>
      <c r="T6" s="49" t="s">
        <v>32</v>
      </c>
      <c r="U6" s="49" t="s">
        <v>33</v>
      </c>
      <c r="V6" s="49" t="s">
        <v>34</v>
      </c>
      <c r="W6" s="49" t="s">
        <v>35</v>
      </c>
      <c r="X6" s="49" t="s">
        <v>36</v>
      </c>
      <c r="Y6" s="49" t="s">
        <v>37</v>
      </c>
      <c r="Z6" s="49" t="s">
        <v>38</v>
      </c>
      <c r="AA6" s="49" t="s">
        <v>39</v>
      </c>
      <c r="AB6" s="49" t="s">
        <v>40</v>
      </c>
      <c r="AC6" s="49" t="s">
        <v>41</v>
      </c>
      <c r="AD6" s="49" t="s">
        <v>10</v>
      </c>
      <c r="AE6" s="49" t="s">
        <v>6</v>
      </c>
      <c r="AF6" s="6"/>
    </row>
    <row r="7" spans="1:134" ht="30.75" customHeight="1">
      <c r="A7" s="11"/>
      <c r="B7" s="66" t="s">
        <v>6</v>
      </c>
      <c r="C7" s="52">
        <v>554</v>
      </c>
      <c r="D7" s="52">
        <v>1066</v>
      </c>
      <c r="E7" s="52">
        <v>2076</v>
      </c>
      <c r="F7" s="52">
        <v>751</v>
      </c>
      <c r="G7" s="52">
        <v>1995</v>
      </c>
      <c r="H7" s="52">
        <v>818</v>
      </c>
      <c r="I7" s="52">
        <v>626</v>
      </c>
      <c r="J7" s="52">
        <v>1430</v>
      </c>
      <c r="K7" s="52">
        <v>3308</v>
      </c>
      <c r="L7" s="52">
        <v>6629</v>
      </c>
      <c r="M7" s="52">
        <v>1127</v>
      </c>
      <c r="N7" s="52">
        <v>930</v>
      </c>
      <c r="O7" s="52">
        <v>3287</v>
      </c>
      <c r="P7" s="52">
        <v>-5243</v>
      </c>
      <c r="Q7" s="52">
        <v>-338</v>
      </c>
      <c r="R7" s="52">
        <v>14008</v>
      </c>
      <c r="S7" s="52">
        <v>38845</v>
      </c>
      <c r="T7" s="52">
        <v>7392</v>
      </c>
      <c r="U7" s="52">
        <v>23914</v>
      </c>
      <c r="V7" s="52">
        <v>67876</v>
      </c>
      <c r="W7" s="52">
        <v>15823</v>
      </c>
      <c r="X7" s="52">
        <v>16868</v>
      </c>
      <c r="Y7" s="52">
        <v>4054</v>
      </c>
      <c r="Z7" s="52">
        <v>3554</v>
      </c>
      <c r="AA7" s="52">
        <v>-1716</v>
      </c>
      <c r="AB7" s="52">
        <v>11681</v>
      </c>
      <c r="AC7" s="52">
        <v>6711</v>
      </c>
      <c r="AD7" s="52">
        <v>182</v>
      </c>
      <c r="AE7" s="52">
        <v>228208</v>
      </c>
      <c r="AF7" s="27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</row>
    <row r="8" spans="1:134" ht="30.75" customHeight="1">
      <c r="A8" s="11"/>
      <c r="B8" s="67" t="s">
        <v>7</v>
      </c>
      <c r="C8" s="52">
        <v>-283</v>
      </c>
      <c r="D8" s="52">
        <v>-4</v>
      </c>
      <c r="E8" s="52">
        <v>-24</v>
      </c>
      <c r="F8" s="52">
        <v>36</v>
      </c>
      <c r="G8" s="52">
        <v>-78</v>
      </c>
      <c r="H8" s="52">
        <v>-78</v>
      </c>
      <c r="I8" s="52">
        <v>-91</v>
      </c>
      <c r="J8" s="52">
        <v>-144</v>
      </c>
      <c r="K8" s="52">
        <v>301</v>
      </c>
      <c r="L8" s="52">
        <v>-433</v>
      </c>
      <c r="M8" s="52">
        <v>-1504</v>
      </c>
      <c r="N8" s="52">
        <v>-624</v>
      </c>
      <c r="O8" s="52">
        <v>-2248</v>
      </c>
      <c r="P8" s="52">
        <v>-2857</v>
      </c>
      <c r="Q8" s="52">
        <v>-994</v>
      </c>
      <c r="R8" s="52">
        <v>156</v>
      </c>
      <c r="S8" s="52">
        <v>9722</v>
      </c>
      <c r="T8" s="52">
        <v>238</v>
      </c>
      <c r="U8" s="52">
        <v>117</v>
      </c>
      <c r="V8" s="52">
        <v>-4147</v>
      </c>
      <c r="W8" s="52">
        <v>373</v>
      </c>
      <c r="X8" s="52">
        <v>-805</v>
      </c>
      <c r="Y8" s="52">
        <v>-10418</v>
      </c>
      <c r="Z8" s="52">
        <v>-447</v>
      </c>
      <c r="AA8" s="52">
        <v>-5015</v>
      </c>
      <c r="AB8" s="52">
        <v>1367</v>
      </c>
      <c r="AC8" s="52">
        <v>-153</v>
      </c>
      <c r="AD8" s="52">
        <v>-59</v>
      </c>
      <c r="AE8" s="52">
        <v>-18096</v>
      </c>
      <c r="AF8" s="27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30.75" customHeight="1">
      <c r="A9" s="11"/>
      <c r="B9" s="67" t="s">
        <v>8</v>
      </c>
      <c r="C9" s="52">
        <v>185</v>
      </c>
      <c r="D9" s="52">
        <v>128</v>
      </c>
      <c r="E9" s="52">
        <v>565</v>
      </c>
      <c r="F9" s="52">
        <v>-24</v>
      </c>
      <c r="G9" s="52">
        <v>720</v>
      </c>
      <c r="H9" s="52">
        <v>12</v>
      </c>
      <c r="I9" s="52">
        <v>49</v>
      </c>
      <c r="J9" s="52">
        <v>-88</v>
      </c>
      <c r="K9" s="52">
        <v>458</v>
      </c>
      <c r="L9" s="52">
        <v>1297</v>
      </c>
      <c r="M9" s="52">
        <v>-242</v>
      </c>
      <c r="N9" s="52">
        <v>-1532</v>
      </c>
      <c r="O9" s="52">
        <v>-4052</v>
      </c>
      <c r="P9" s="52">
        <v>-4762</v>
      </c>
      <c r="Q9" s="52">
        <v>-892</v>
      </c>
      <c r="R9" s="52">
        <v>2183</v>
      </c>
      <c r="S9" s="52">
        <v>3331</v>
      </c>
      <c r="T9" s="52">
        <v>1423</v>
      </c>
      <c r="U9" s="52">
        <v>1702</v>
      </c>
      <c r="V9" s="52">
        <v>8197</v>
      </c>
      <c r="W9" s="52">
        <v>4096</v>
      </c>
      <c r="X9" s="52">
        <v>5525</v>
      </c>
      <c r="Y9" s="52">
        <v>4738</v>
      </c>
      <c r="Z9" s="52">
        <v>1208</v>
      </c>
      <c r="AA9" s="52">
        <v>672</v>
      </c>
      <c r="AB9" s="52">
        <v>3166</v>
      </c>
      <c r="AC9" s="52">
        <v>257</v>
      </c>
      <c r="AD9" s="52">
        <v>16</v>
      </c>
      <c r="AE9" s="52">
        <v>28336</v>
      </c>
      <c r="AF9" s="27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</row>
    <row r="10" spans="1:134" ht="30.75" customHeight="1">
      <c r="A10" s="11"/>
      <c r="B10" s="68" t="s">
        <v>9</v>
      </c>
      <c r="C10" s="69">
        <v>24</v>
      </c>
      <c r="D10" s="69">
        <v>0</v>
      </c>
      <c r="E10" s="69">
        <v>6</v>
      </c>
      <c r="F10" s="69">
        <v>-2</v>
      </c>
      <c r="G10" s="69">
        <v>548</v>
      </c>
      <c r="H10" s="69">
        <v>17</v>
      </c>
      <c r="I10" s="69">
        <v>9</v>
      </c>
      <c r="J10" s="69">
        <v>-6</v>
      </c>
      <c r="K10" s="69">
        <v>21</v>
      </c>
      <c r="L10" s="69">
        <v>47</v>
      </c>
      <c r="M10" s="69">
        <v>65</v>
      </c>
      <c r="N10" s="69">
        <v>7</v>
      </c>
      <c r="O10" s="69">
        <v>19</v>
      </c>
      <c r="P10" s="69">
        <v>14</v>
      </c>
      <c r="Q10" s="69">
        <v>-9</v>
      </c>
      <c r="R10" s="69">
        <v>88</v>
      </c>
      <c r="S10" s="69">
        <v>227</v>
      </c>
      <c r="T10" s="69">
        <v>26</v>
      </c>
      <c r="U10" s="69">
        <v>197</v>
      </c>
      <c r="V10" s="69">
        <v>6</v>
      </c>
      <c r="W10" s="69">
        <v>75</v>
      </c>
      <c r="X10" s="69">
        <v>22</v>
      </c>
      <c r="Y10" s="69">
        <v>-15</v>
      </c>
      <c r="Z10" s="69">
        <v>35</v>
      </c>
      <c r="AA10" s="69">
        <v>179</v>
      </c>
      <c r="AB10" s="69">
        <v>85</v>
      </c>
      <c r="AC10" s="69">
        <v>1</v>
      </c>
      <c r="AD10" s="52">
        <v>0</v>
      </c>
      <c r="AE10" s="69">
        <v>1686</v>
      </c>
      <c r="AF10" s="27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</row>
  </sheetData>
  <mergeCells count="2">
    <mergeCell ref="B5:B6"/>
    <mergeCell ref="C5:AE5"/>
  </mergeCells>
  <pageMargins left="0.51181102362204722" right="0.51181102362204722" top="0.78740157480314965" bottom="0.78740157480314965" header="0.31496062992125984" footer="0.31496062992125984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1267-AAF8-406A-BC35-D19482D5D00A}">
  <sheetPr>
    <pageSetUpPr fitToPage="1"/>
  </sheetPr>
  <dimension ref="A1:I10"/>
  <sheetViews>
    <sheetView showGridLines="0" zoomScaleNormal="100" workbookViewId="0">
      <pane ySplit="5" topLeftCell="A6" activePane="bottomLeft" state="frozen"/>
      <selection activeCell="B80" sqref="B6:G80"/>
      <selection pane="bottomLeft" activeCell="A11" sqref="A11:XFD1048576"/>
    </sheetView>
  </sheetViews>
  <sheetFormatPr defaultColWidth="9.140625" defaultRowHeight="16.5" customHeight="1"/>
  <cols>
    <col min="1" max="1" width="0.7109375" style="1" customWidth="1"/>
    <col min="2" max="2" width="52.5703125" style="1" customWidth="1"/>
    <col min="3" max="7" width="23.7109375" style="1" customWidth="1"/>
    <col min="8" max="8" width="0.7109375" style="1" customWidth="1"/>
    <col min="9" max="9" width="10.140625" style="1" bestFit="1" customWidth="1"/>
    <col min="10" max="16384" width="9.140625" style="1"/>
  </cols>
  <sheetData>
    <row r="1" spans="1:9" ht="8.25" customHeight="1"/>
    <row r="2" spans="1:9" ht="15.75">
      <c r="B2" s="9" t="s">
        <v>51</v>
      </c>
    </row>
    <row r="3" spans="1:9" ht="15" customHeight="1">
      <c r="B3" s="16"/>
      <c r="C3" s="2"/>
      <c r="D3" s="2"/>
      <c r="E3" s="2"/>
      <c r="F3" s="2"/>
      <c r="G3" s="2"/>
    </row>
    <row r="4" spans="1:9" ht="3.95" customHeight="1">
      <c r="A4" s="8"/>
      <c r="B4" s="7"/>
      <c r="C4" s="7"/>
      <c r="D4" s="7"/>
      <c r="E4" s="7"/>
      <c r="F4" s="7"/>
      <c r="G4" s="7"/>
      <c r="H4" s="8"/>
    </row>
    <row r="5" spans="1:9" ht="32.25" customHeight="1">
      <c r="A5" s="8"/>
      <c r="B5" s="46" t="s">
        <v>52</v>
      </c>
      <c r="C5" s="46" t="s">
        <v>53</v>
      </c>
      <c r="D5" s="46" t="s">
        <v>2</v>
      </c>
      <c r="E5" s="46" t="s">
        <v>3</v>
      </c>
      <c r="F5" s="46" t="s">
        <v>4</v>
      </c>
      <c r="G5" s="46" t="s">
        <v>5</v>
      </c>
      <c r="H5" s="8"/>
    </row>
    <row r="6" spans="1:9" ht="31.5" customHeight="1">
      <c r="A6" s="8"/>
      <c r="B6" s="17" t="s">
        <v>54</v>
      </c>
      <c r="C6" s="37">
        <v>39096568</v>
      </c>
      <c r="D6" s="20">
        <v>1384986</v>
      </c>
      <c r="E6" s="20">
        <v>1292308</v>
      </c>
      <c r="F6" s="20">
        <v>92678</v>
      </c>
      <c r="G6" s="112">
        <v>0.2376121971423876</v>
      </c>
      <c r="H6" s="8"/>
      <c r="I6" s="3"/>
    </row>
    <row r="7" spans="1:9" ht="31.5" customHeight="1">
      <c r="A7" s="8"/>
      <c r="B7" s="17" t="s">
        <v>55</v>
      </c>
      <c r="C7" s="37">
        <v>39294936</v>
      </c>
      <c r="D7" s="18">
        <v>1483832</v>
      </c>
      <c r="E7" s="18">
        <v>1285464</v>
      </c>
      <c r="F7" s="18">
        <v>198368</v>
      </c>
      <c r="G7" s="113">
        <v>0.5073795735728005</v>
      </c>
      <c r="H7" s="8"/>
      <c r="I7" s="3"/>
    </row>
    <row r="8" spans="1:9" ht="31.5" customHeight="1">
      <c r="A8" s="8"/>
      <c r="B8" s="17" t="s">
        <v>56</v>
      </c>
      <c r="C8" s="37">
        <v>39062620</v>
      </c>
      <c r="D8" s="18">
        <v>1347665</v>
      </c>
      <c r="E8" s="18">
        <v>1579981</v>
      </c>
      <c r="F8" s="18">
        <v>-232316</v>
      </c>
      <c r="G8" s="113">
        <v>-0.59121104052695239</v>
      </c>
      <c r="H8" s="8"/>
      <c r="I8" s="3"/>
    </row>
    <row r="9" spans="1:9" ht="31.5" customHeight="1">
      <c r="A9" s="8"/>
      <c r="B9" s="17" t="s">
        <v>57</v>
      </c>
      <c r="C9" s="37">
        <v>38160303</v>
      </c>
      <c r="D9" s="18">
        <v>617644</v>
      </c>
      <c r="E9" s="18">
        <v>1519961</v>
      </c>
      <c r="F9" s="18">
        <v>-902317</v>
      </c>
      <c r="G9" s="113">
        <v>-2.3099244239121695</v>
      </c>
      <c r="H9" s="8"/>
      <c r="I9" s="3"/>
    </row>
    <row r="10" spans="1:9" ht="31.5" customHeight="1">
      <c r="A10" s="8"/>
      <c r="B10" s="17" t="s">
        <v>58</v>
      </c>
      <c r="C10" s="37">
        <v>37807513</v>
      </c>
      <c r="D10" s="18">
        <v>716330</v>
      </c>
      <c r="E10" s="18">
        <v>1069120</v>
      </c>
      <c r="F10" s="18">
        <v>-352790</v>
      </c>
      <c r="G10" s="113">
        <v>-0.92449475571512107</v>
      </c>
      <c r="H10" s="8"/>
      <c r="I10" s="3"/>
    </row>
  </sheetData>
  <phoneticPr fontId="22" type="noConversion"/>
  <printOptions horizontalCentered="1" verticalCentered="1"/>
  <pageMargins left="0" right="0" top="0" bottom="0" header="0.19" footer="0.18"/>
  <pageSetup paperSize="9"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49F2-7275-4177-83A0-4D3789EFF738}">
  <sheetPr>
    <pageSetUpPr fitToPage="1"/>
  </sheetPr>
  <dimension ref="A1:I10"/>
  <sheetViews>
    <sheetView showGridLines="0" zoomScaleNormal="100" workbookViewId="0">
      <pane ySplit="5" topLeftCell="A6" activePane="bottomLeft" state="frozen"/>
      <selection activeCell="B48" sqref="B48"/>
      <selection pane="bottomLeft" activeCell="A11" sqref="A11:XFD1048576"/>
    </sheetView>
  </sheetViews>
  <sheetFormatPr defaultColWidth="9.140625" defaultRowHeight="16.5" customHeight="1"/>
  <cols>
    <col min="1" max="1" width="0.7109375" style="1" customWidth="1"/>
    <col min="2" max="2" width="52.5703125" style="1" customWidth="1"/>
    <col min="3" max="7" width="23.7109375" style="1" customWidth="1"/>
    <col min="8" max="8" width="0.7109375" style="1" customWidth="1"/>
    <col min="9" max="10" width="10.140625" style="1" bestFit="1" customWidth="1"/>
    <col min="11" max="12" width="12" style="1" customWidth="1"/>
    <col min="13" max="16384" width="9.140625" style="1"/>
  </cols>
  <sheetData>
    <row r="1" spans="1:9" ht="8.25" customHeight="1"/>
    <row r="2" spans="1:9" ht="15.75">
      <c r="B2" s="9" t="s">
        <v>128</v>
      </c>
    </row>
    <row r="3" spans="1:9" ht="15" customHeight="1">
      <c r="B3" s="16"/>
      <c r="C3" s="2"/>
      <c r="D3" s="2"/>
      <c r="E3" s="2"/>
      <c r="F3" s="2"/>
      <c r="G3" s="2"/>
    </row>
    <row r="4" spans="1:9" ht="3.95" customHeight="1">
      <c r="A4" s="8"/>
      <c r="B4" s="7"/>
      <c r="C4" s="7"/>
      <c r="D4" s="7"/>
      <c r="E4" s="7"/>
      <c r="F4" s="7"/>
      <c r="G4" s="7"/>
      <c r="H4" s="8"/>
    </row>
    <row r="5" spans="1:9" ht="32.25" customHeight="1">
      <c r="A5" s="8"/>
      <c r="B5" s="46" t="s">
        <v>52</v>
      </c>
      <c r="C5" s="46" t="s">
        <v>53</v>
      </c>
      <c r="D5" s="46" t="s">
        <v>2</v>
      </c>
      <c r="E5" s="46" t="s">
        <v>3</v>
      </c>
      <c r="F5" s="46" t="s">
        <v>4</v>
      </c>
      <c r="G5" s="46" t="s">
        <v>5</v>
      </c>
      <c r="H5" s="8"/>
    </row>
    <row r="6" spans="1:9" ht="31.5" customHeight="1">
      <c r="A6" s="8"/>
      <c r="B6" s="17" t="s">
        <v>54</v>
      </c>
      <c r="C6" s="19">
        <v>39565565</v>
      </c>
      <c r="D6" s="101">
        <v>1510041</v>
      </c>
      <c r="E6" s="101">
        <v>1397940</v>
      </c>
      <c r="F6" s="101">
        <v>112101</v>
      </c>
      <c r="G6" s="114">
        <v>0.2841347466980339</v>
      </c>
      <c r="H6" s="8"/>
      <c r="I6" s="3"/>
    </row>
    <row r="7" spans="1:9" ht="31.5" customHeight="1">
      <c r="A7" s="8"/>
      <c r="B7" s="17" t="s">
        <v>55</v>
      </c>
      <c r="C7" s="19">
        <v>39782895</v>
      </c>
      <c r="D7" s="101">
        <v>1613641</v>
      </c>
      <c r="E7" s="101">
        <v>1396311</v>
      </c>
      <c r="F7" s="101">
        <v>217330</v>
      </c>
      <c r="G7" s="114">
        <v>0.54929077848376484</v>
      </c>
      <c r="H7" s="8"/>
      <c r="I7" s="3"/>
    </row>
    <row r="8" spans="1:9" ht="31.5" customHeight="1">
      <c r="A8" s="8"/>
      <c r="B8" s="17" t="s">
        <v>56</v>
      </c>
      <c r="C8" s="19">
        <v>39487935</v>
      </c>
      <c r="D8" s="101">
        <v>1459403</v>
      </c>
      <c r="E8" s="101">
        <v>1754363</v>
      </c>
      <c r="F8" s="101">
        <v>-294960</v>
      </c>
      <c r="G8" s="114">
        <v>-0.74142417237357916</v>
      </c>
      <c r="H8" s="8"/>
      <c r="I8" s="3"/>
    </row>
    <row r="9" spans="1:9" ht="31.5" customHeight="1">
      <c r="A9" s="8"/>
      <c r="B9" s="17" t="s">
        <v>57</v>
      </c>
      <c r="C9" s="19">
        <v>38506594</v>
      </c>
      <c r="D9" s="101">
        <v>664774</v>
      </c>
      <c r="E9" s="101">
        <v>1646115</v>
      </c>
      <c r="F9" s="101">
        <v>-981341</v>
      </c>
      <c r="G9" s="114">
        <v>-2.4851666717948153</v>
      </c>
      <c r="H9" s="8"/>
      <c r="I9" s="3"/>
    </row>
    <row r="10" spans="1:9" ht="31.5" customHeight="1">
      <c r="A10" s="8"/>
      <c r="B10" s="17" t="s">
        <v>58</v>
      </c>
      <c r="C10" s="19">
        <v>38108365</v>
      </c>
      <c r="D10" s="101">
        <v>761742</v>
      </c>
      <c r="E10" s="101">
        <v>1159971</v>
      </c>
      <c r="F10" s="101">
        <v>-398229</v>
      </c>
      <c r="G10" s="114">
        <v>-1.0341839114620213</v>
      </c>
      <c r="H10" s="8"/>
      <c r="I10" s="3"/>
    </row>
  </sheetData>
  <phoneticPr fontId="22" type="noConversion"/>
  <printOptions horizontalCentered="1" verticalCentered="1"/>
  <pageMargins left="0" right="0" top="0" bottom="0" header="0.19" footer="0.18"/>
  <pageSetup paperSize="9" scale="4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U10"/>
  <sheetViews>
    <sheetView showGridLines="0" zoomScaleNormal="10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ColWidth="9.140625" defaultRowHeight="16.5" customHeight="1"/>
  <cols>
    <col min="1" max="1" width="0.7109375" style="21" customWidth="1"/>
    <col min="2" max="2" width="64.140625" style="21" customWidth="1"/>
    <col min="3" max="349" width="16.5703125" style="21" customWidth="1"/>
    <col min="350" max="350" width="22.42578125" style="21" customWidth="1"/>
    <col min="351" max="384" width="16.5703125" style="21" customWidth="1"/>
    <col min="385" max="385" width="0.7109375" style="21" customWidth="1"/>
    <col min="386" max="16384" width="9.140625" style="21"/>
  </cols>
  <sheetData>
    <row r="1" spans="1:385" ht="8.25" customHeight="1"/>
    <row r="2" spans="1:385" ht="15.75">
      <c r="B2" s="22" t="s">
        <v>129</v>
      </c>
    </row>
    <row r="3" spans="1:385" ht="15" customHeight="1">
      <c r="C3" s="29"/>
      <c r="D3" s="29"/>
      <c r="E3" s="29"/>
      <c r="F3" s="29"/>
      <c r="G3" s="29"/>
      <c r="H3" s="29"/>
      <c r="I3" s="29"/>
      <c r="L3" s="29"/>
      <c r="M3" s="29"/>
      <c r="N3" s="29"/>
      <c r="Q3" s="29"/>
      <c r="R3" s="29"/>
      <c r="S3" s="29"/>
      <c r="V3" s="29"/>
      <c r="W3" s="29"/>
      <c r="X3" s="29"/>
      <c r="AA3" s="29"/>
      <c r="AB3" s="29"/>
      <c r="AC3" s="29"/>
      <c r="AD3" s="29"/>
      <c r="AE3" s="29"/>
      <c r="AF3" s="29"/>
      <c r="AG3" s="29"/>
      <c r="AH3" s="29"/>
      <c r="AK3" s="29"/>
      <c r="AL3" s="29"/>
      <c r="AM3" s="29"/>
      <c r="AN3" s="29"/>
      <c r="AO3" s="29"/>
      <c r="AP3" s="29"/>
      <c r="AQ3" s="29"/>
      <c r="AR3" s="29"/>
      <c r="AU3" s="29"/>
      <c r="AV3" s="29"/>
      <c r="AW3" s="29"/>
      <c r="AZ3" s="29"/>
      <c r="BA3" s="29"/>
      <c r="BB3" s="29"/>
      <c r="BE3" s="29"/>
      <c r="BF3" s="29"/>
      <c r="BG3" s="29"/>
      <c r="BJ3" s="29"/>
      <c r="BK3" s="29"/>
      <c r="BL3" s="30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C3" s="29"/>
      <c r="DD3" s="29"/>
      <c r="DE3" s="29"/>
      <c r="DH3" s="29"/>
      <c r="DI3" s="29"/>
      <c r="DJ3" s="29"/>
      <c r="DM3" s="29"/>
      <c r="DN3" s="29"/>
      <c r="DO3" s="29"/>
      <c r="DR3" s="29"/>
      <c r="DS3" s="29"/>
      <c r="DT3" s="29"/>
      <c r="DW3" s="29"/>
      <c r="DX3" s="29"/>
      <c r="DY3" s="29"/>
      <c r="EB3" s="29"/>
      <c r="EC3" s="29"/>
      <c r="ED3" s="29"/>
      <c r="EG3" s="29"/>
      <c r="EH3" s="29"/>
      <c r="EI3" s="29"/>
      <c r="EL3" s="29"/>
      <c r="EM3" s="29"/>
      <c r="EN3" s="29"/>
      <c r="EQ3" s="29"/>
      <c r="ER3" s="29"/>
      <c r="ES3" s="29"/>
      <c r="EV3" s="29"/>
      <c r="EW3" s="29"/>
      <c r="EX3" s="29"/>
      <c r="FA3" s="29"/>
      <c r="FB3" s="29"/>
      <c r="FC3" s="29"/>
      <c r="FF3" s="29"/>
      <c r="FG3" s="29"/>
      <c r="FH3" s="29"/>
      <c r="FK3" s="29"/>
      <c r="FL3" s="29"/>
      <c r="FM3" s="29"/>
      <c r="FP3" s="29"/>
      <c r="FQ3" s="29"/>
      <c r="FR3" s="29"/>
      <c r="FU3" s="29"/>
      <c r="FV3" s="29"/>
      <c r="FW3" s="29"/>
      <c r="FZ3" s="29"/>
      <c r="GA3" s="29"/>
      <c r="GB3" s="29"/>
      <c r="GE3" s="29"/>
      <c r="GF3" s="29"/>
      <c r="GG3" s="29"/>
      <c r="GJ3" s="29"/>
      <c r="GK3" s="29"/>
      <c r="GL3" s="29"/>
      <c r="GO3" s="29"/>
      <c r="GP3" s="29"/>
      <c r="GQ3" s="29"/>
      <c r="GT3" s="29"/>
      <c r="GU3" s="29"/>
      <c r="GV3" s="29"/>
      <c r="GY3" s="29"/>
      <c r="GZ3" s="29"/>
      <c r="HA3" s="29"/>
      <c r="HD3" s="29"/>
      <c r="HE3" s="29"/>
      <c r="HF3" s="29"/>
      <c r="HI3" s="29"/>
      <c r="HJ3" s="29"/>
      <c r="HK3" s="29"/>
      <c r="HN3" s="29"/>
      <c r="HO3" s="29"/>
      <c r="HP3" s="29"/>
      <c r="HS3" s="29"/>
      <c r="HT3" s="29"/>
      <c r="HU3" s="29"/>
      <c r="HX3" s="29"/>
      <c r="HY3" s="29"/>
      <c r="HZ3" s="29"/>
      <c r="IC3" s="29"/>
      <c r="ID3" s="29"/>
      <c r="IE3" s="29"/>
      <c r="IH3" s="29"/>
      <c r="II3" s="29"/>
      <c r="IJ3" s="29"/>
      <c r="IM3" s="29"/>
      <c r="IN3" s="29"/>
      <c r="IR3" s="29"/>
      <c r="IS3" s="29"/>
      <c r="IW3" s="29"/>
      <c r="IX3" s="29"/>
      <c r="JB3" s="29"/>
      <c r="JC3" s="29"/>
      <c r="JG3" s="29"/>
      <c r="JH3" s="29"/>
      <c r="JL3" s="29"/>
      <c r="JM3" s="29"/>
      <c r="JQ3" s="29"/>
      <c r="JR3" s="29"/>
      <c r="JS3" s="29"/>
      <c r="JV3" s="29"/>
      <c r="JW3" s="29"/>
      <c r="JX3" s="29"/>
      <c r="KA3" s="29"/>
      <c r="KB3" s="29"/>
      <c r="KC3" s="29"/>
      <c r="KF3" s="29"/>
      <c r="KG3" s="29"/>
      <c r="KH3" s="29"/>
      <c r="KK3" s="29"/>
      <c r="KL3" s="29"/>
      <c r="KM3" s="29"/>
      <c r="KP3" s="29"/>
      <c r="KQ3" s="29"/>
      <c r="KR3" s="29"/>
      <c r="KU3" s="29"/>
      <c r="KV3" s="29"/>
      <c r="KW3" s="29"/>
      <c r="KZ3" s="29"/>
      <c r="LA3" s="29"/>
      <c r="LB3" s="29"/>
      <c r="LE3" s="29"/>
      <c r="LF3" s="29"/>
      <c r="LG3" s="29"/>
      <c r="LJ3" s="29"/>
      <c r="LK3" s="29"/>
      <c r="LL3" s="29"/>
      <c r="LO3" s="29"/>
      <c r="LP3" s="29"/>
      <c r="LQ3" s="29"/>
      <c r="LT3" s="29"/>
      <c r="LU3" s="29"/>
      <c r="LV3" s="29"/>
      <c r="LY3" s="29"/>
      <c r="LZ3" s="29"/>
      <c r="MA3" s="29"/>
      <c r="MD3" s="29"/>
      <c r="ME3" s="29"/>
      <c r="MF3" s="29"/>
      <c r="MI3" s="29"/>
      <c r="MJ3" s="29"/>
      <c r="MK3" s="29"/>
      <c r="MN3" s="29"/>
      <c r="MO3" s="29"/>
      <c r="MP3" s="29"/>
      <c r="MS3" s="29"/>
      <c r="MT3" s="29"/>
      <c r="MU3" s="29"/>
    </row>
    <row r="4" spans="1:385" ht="3.95" customHeight="1">
      <c r="A4" s="23"/>
      <c r="B4" s="24"/>
      <c r="C4" s="24"/>
      <c r="D4" s="24"/>
      <c r="E4" s="24"/>
      <c r="F4" s="24"/>
      <c r="G4" s="24"/>
      <c r="H4" s="24"/>
      <c r="I4" s="24"/>
      <c r="J4" s="23"/>
      <c r="K4" s="23"/>
      <c r="L4" s="24"/>
      <c r="M4" s="24"/>
      <c r="N4" s="24"/>
      <c r="O4" s="23"/>
      <c r="P4" s="23"/>
      <c r="Q4" s="24"/>
      <c r="R4" s="24"/>
      <c r="S4" s="24"/>
      <c r="T4" s="23"/>
      <c r="U4" s="23"/>
      <c r="V4" s="24"/>
      <c r="W4" s="24"/>
      <c r="X4" s="24"/>
      <c r="Y4" s="23"/>
      <c r="Z4" s="23"/>
      <c r="AA4" s="24"/>
      <c r="AB4" s="24"/>
      <c r="AC4" s="24"/>
      <c r="AD4" s="24"/>
      <c r="AE4" s="24"/>
      <c r="AF4" s="24"/>
      <c r="AG4" s="24"/>
      <c r="AH4" s="24"/>
      <c r="AI4" s="23"/>
      <c r="AJ4" s="23"/>
      <c r="AK4" s="24"/>
      <c r="AL4" s="24"/>
      <c r="AM4" s="24"/>
      <c r="AN4" s="24"/>
      <c r="AO4" s="24"/>
      <c r="AP4" s="24"/>
      <c r="AQ4" s="24"/>
      <c r="AR4" s="24"/>
      <c r="AS4" s="23"/>
      <c r="AT4" s="23"/>
      <c r="AU4" s="24"/>
      <c r="AV4" s="24"/>
      <c r="AW4" s="24"/>
      <c r="AX4" s="23"/>
      <c r="AY4" s="23"/>
      <c r="AZ4" s="24"/>
      <c r="BA4" s="24"/>
      <c r="BB4" s="24"/>
      <c r="BC4" s="23"/>
      <c r="BD4" s="23"/>
      <c r="BE4" s="24"/>
      <c r="BF4" s="24"/>
      <c r="BG4" s="24"/>
      <c r="BH4" s="23"/>
      <c r="BI4" s="23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3"/>
      <c r="DB4" s="23"/>
      <c r="DC4" s="24"/>
      <c r="DD4" s="24"/>
      <c r="DE4" s="24"/>
      <c r="DF4" s="23"/>
      <c r="DG4" s="23"/>
      <c r="DH4" s="24"/>
      <c r="DI4" s="24"/>
      <c r="DJ4" s="24"/>
      <c r="DK4" s="23"/>
      <c r="DL4" s="23"/>
      <c r="DM4" s="24"/>
      <c r="DN4" s="24"/>
      <c r="DO4" s="24"/>
      <c r="DP4" s="23"/>
      <c r="DQ4" s="23"/>
      <c r="DR4" s="24"/>
      <c r="DS4" s="24"/>
      <c r="DT4" s="24"/>
      <c r="DU4" s="23"/>
      <c r="DV4" s="23"/>
      <c r="DW4" s="24"/>
      <c r="DX4" s="24"/>
      <c r="DY4" s="24"/>
      <c r="DZ4" s="23"/>
      <c r="EA4" s="23"/>
      <c r="EB4" s="24"/>
      <c r="EC4" s="24"/>
      <c r="ED4" s="24"/>
      <c r="EE4" s="23"/>
      <c r="EF4" s="23"/>
      <c r="EG4" s="24"/>
      <c r="EH4" s="24"/>
      <c r="EI4" s="24"/>
      <c r="EJ4" s="23"/>
      <c r="EK4" s="23"/>
      <c r="EL4" s="24"/>
      <c r="EM4" s="24"/>
      <c r="EN4" s="24"/>
      <c r="EO4" s="23"/>
      <c r="EP4" s="23"/>
      <c r="EQ4" s="24"/>
      <c r="ER4" s="24"/>
      <c r="ES4" s="24"/>
      <c r="ET4" s="23"/>
      <c r="EU4" s="23"/>
      <c r="EV4" s="24"/>
      <c r="EW4" s="24"/>
      <c r="EX4" s="24"/>
      <c r="EY4" s="23"/>
      <c r="EZ4" s="23"/>
      <c r="FA4" s="24"/>
      <c r="FB4" s="24"/>
      <c r="FC4" s="24"/>
      <c r="FD4" s="23"/>
      <c r="FE4" s="23"/>
      <c r="FF4" s="24"/>
      <c r="FG4" s="24"/>
      <c r="FH4" s="24"/>
      <c r="FI4" s="23"/>
      <c r="FJ4" s="23"/>
      <c r="FK4" s="24"/>
      <c r="FL4" s="24"/>
      <c r="FM4" s="24"/>
      <c r="FN4" s="23"/>
      <c r="FO4" s="23"/>
      <c r="FP4" s="24"/>
      <c r="FQ4" s="24"/>
      <c r="FR4" s="24"/>
      <c r="FS4" s="23"/>
      <c r="FT4" s="23"/>
      <c r="FU4" s="24"/>
      <c r="FV4" s="24"/>
      <c r="FW4" s="24"/>
      <c r="FX4" s="23"/>
      <c r="FY4" s="23"/>
      <c r="FZ4" s="24"/>
      <c r="GA4" s="24"/>
      <c r="GB4" s="24"/>
      <c r="GC4" s="23"/>
      <c r="GD4" s="23"/>
      <c r="GE4" s="24"/>
      <c r="GF4" s="24"/>
      <c r="GG4" s="24"/>
      <c r="GH4" s="23"/>
      <c r="GI4" s="23"/>
      <c r="GJ4" s="24"/>
      <c r="GK4" s="24"/>
      <c r="GL4" s="24"/>
      <c r="GM4" s="23"/>
      <c r="GN4" s="23"/>
      <c r="GO4" s="24"/>
      <c r="GP4" s="24"/>
      <c r="GQ4" s="24"/>
      <c r="GR4" s="23"/>
      <c r="GS4" s="23"/>
      <c r="GT4" s="24"/>
      <c r="GU4" s="24"/>
      <c r="GV4" s="24"/>
      <c r="GW4" s="23"/>
      <c r="GX4" s="23"/>
      <c r="GY4" s="24"/>
      <c r="GZ4" s="24"/>
      <c r="HA4" s="24"/>
      <c r="HB4" s="23"/>
      <c r="HC4" s="23"/>
      <c r="HD4" s="24"/>
      <c r="HE4" s="24"/>
      <c r="HF4" s="24"/>
      <c r="HG4" s="23"/>
      <c r="HH4" s="23"/>
      <c r="HI4" s="24"/>
      <c r="HJ4" s="24"/>
      <c r="HK4" s="24"/>
      <c r="HL4" s="23"/>
      <c r="HM4" s="23"/>
      <c r="HN4" s="24"/>
      <c r="HO4" s="24"/>
      <c r="HP4" s="24"/>
      <c r="HQ4" s="23"/>
      <c r="HR4" s="23"/>
      <c r="HS4" s="24"/>
      <c r="HT4" s="24"/>
      <c r="HU4" s="24"/>
      <c r="HV4" s="23"/>
      <c r="HW4" s="23"/>
      <c r="HX4" s="24"/>
      <c r="HY4" s="24"/>
      <c r="HZ4" s="24"/>
      <c r="IA4" s="23"/>
      <c r="IB4" s="23"/>
      <c r="IC4" s="24"/>
      <c r="ID4" s="24"/>
      <c r="IE4" s="24"/>
      <c r="IF4" s="23"/>
      <c r="IG4" s="23"/>
      <c r="IH4" s="24"/>
      <c r="II4" s="24"/>
      <c r="IJ4" s="24"/>
      <c r="IK4" s="23"/>
      <c r="IL4" s="23"/>
      <c r="IM4" s="24"/>
      <c r="IN4" s="24"/>
      <c r="IO4" s="23"/>
      <c r="IP4" s="23"/>
      <c r="IQ4" s="24"/>
      <c r="IR4" s="24"/>
      <c r="IS4" s="24"/>
      <c r="IT4" s="23"/>
      <c r="IU4" s="23"/>
      <c r="IV4" s="24"/>
      <c r="IW4" s="24"/>
      <c r="IX4" s="24"/>
      <c r="IY4" s="23"/>
      <c r="IZ4" s="23"/>
      <c r="JA4" s="24"/>
      <c r="JB4" s="24"/>
      <c r="JC4" s="24"/>
      <c r="JD4" s="23"/>
      <c r="JE4" s="23"/>
      <c r="JF4" s="24"/>
      <c r="JG4" s="24"/>
      <c r="JH4" s="24"/>
      <c r="JI4" s="23"/>
      <c r="JJ4" s="23"/>
      <c r="JK4" s="24"/>
      <c r="JL4" s="24"/>
      <c r="JM4" s="24"/>
      <c r="JN4" s="23"/>
      <c r="JO4" s="23"/>
      <c r="JP4" s="24"/>
      <c r="JQ4" s="24"/>
      <c r="JR4" s="24"/>
      <c r="JS4" s="24"/>
      <c r="JT4" s="23"/>
      <c r="JU4" s="23"/>
      <c r="JV4" s="24"/>
      <c r="JW4" s="24"/>
      <c r="JX4" s="24"/>
      <c r="JY4" s="23"/>
      <c r="JZ4" s="23"/>
      <c r="KA4" s="24"/>
      <c r="KB4" s="24"/>
      <c r="KC4" s="24"/>
      <c r="KD4" s="23"/>
      <c r="KE4" s="23"/>
      <c r="KF4" s="24"/>
      <c r="KG4" s="24"/>
      <c r="KH4" s="24"/>
      <c r="KI4" s="23"/>
      <c r="KJ4" s="23"/>
      <c r="KK4" s="24"/>
      <c r="KL4" s="24"/>
      <c r="KM4" s="24"/>
      <c r="KN4" s="23"/>
      <c r="KO4" s="23"/>
      <c r="KP4" s="24"/>
      <c r="KQ4" s="24"/>
      <c r="KR4" s="24"/>
      <c r="KS4" s="23"/>
      <c r="KT4" s="23"/>
      <c r="KU4" s="24"/>
      <c r="KV4" s="24"/>
      <c r="KW4" s="24"/>
      <c r="KX4" s="23"/>
      <c r="KY4" s="23"/>
      <c r="KZ4" s="24"/>
      <c r="LA4" s="24"/>
      <c r="LB4" s="24"/>
      <c r="LC4" s="23"/>
      <c r="LD4" s="23"/>
      <c r="LE4" s="24"/>
      <c r="LF4" s="24"/>
      <c r="LG4" s="24"/>
      <c r="LH4" s="23"/>
      <c r="LI4" s="23"/>
      <c r="LJ4" s="24"/>
      <c r="LK4" s="24"/>
      <c r="LL4" s="24"/>
      <c r="LM4" s="23"/>
      <c r="LN4" s="23"/>
      <c r="LO4" s="24"/>
      <c r="LP4" s="24"/>
      <c r="LQ4" s="24"/>
      <c r="LR4" s="23"/>
      <c r="LS4" s="23"/>
      <c r="LT4" s="24"/>
      <c r="LU4" s="24"/>
      <c r="LV4" s="24"/>
      <c r="LW4" s="23"/>
      <c r="LX4" s="23"/>
      <c r="LY4" s="24"/>
      <c r="LZ4" s="24"/>
      <c r="MA4" s="24"/>
      <c r="MB4" s="23"/>
      <c r="MC4" s="23"/>
      <c r="MD4" s="24"/>
      <c r="ME4" s="24"/>
      <c r="MF4" s="24"/>
      <c r="MG4" s="23"/>
      <c r="MH4" s="23"/>
      <c r="MI4" s="24"/>
      <c r="MJ4" s="24"/>
      <c r="MK4" s="24"/>
      <c r="ML4" s="23"/>
      <c r="MM4" s="23"/>
      <c r="MN4" s="24"/>
      <c r="MO4" s="24"/>
      <c r="MP4" s="24"/>
      <c r="MQ4" s="23"/>
      <c r="MR4" s="23"/>
      <c r="MS4" s="24"/>
      <c r="MT4" s="24"/>
      <c r="MU4" s="24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</row>
    <row r="5" spans="1:385" ht="32.25" customHeight="1">
      <c r="A5" s="23"/>
      <c r="B5" s="137" t="s">
        <v>0</v>
      </c>
      <c r="C5" s="121" t="s">
        <v>54</v>
      </c>
      <c r="D5" s="121"/>
      <c r="E5" s="121"/>
      <c r="F5" s="121"/>
      <c r="G5" s="121" t="s">
        <v>55</v>
      </c>
      <c r="H5" s="121"/>
      <c r="I5" s="121"/>
      <c r="J5" s="121"/>
      <c r="K5" s="121"/>
      <c r="L5" s="121" t="s">
        <v>56</v>
      </c>
      <c r="M5" s="121"/>
      <c r="N5" s="121"/>
      <c r="O5" s="121"/>
      <c r="P5" s="121"/>
      <c r="Q5" s="121" t="s">
        <v>57</v>
      </c>
      <c r="R5" s="121"/>
      <c r="S5" s="121"/>
      <c r="T5" s="121"/>
      <c r="U5" s="121"/>
      <c r="V5" s="121" t="s">
        <v>58</v>
      </c>
      <c r="W5" s="121"/>
      <c r="X5" s="121"/>
      <c r="Y5" s="121"/>
      <c r="Z5" s="121"/>
      <c r="AA5" s="121" t="s">
        <v>59</v>
      </c>
      <c r="AB5" s="121"/>
      <c r="AC5" s="121"/>
      <c r="AD5" s="121"/>
      <c r="AE5" s="121"/>
      <c r="AF5" s="121" t="s">
        <v>60</v>
      </c>
      <c r="AG5" s="121"/>
      <c r="AH5" s="121"/>
      <c r="AI5" s="121"/>
      <c r="AJ5" s="121"/>
      <c r="AK5" s="121" t="s">
        <v>61</v>
      </c>
      <c r="AL5" s="121"/>
      <c r="AM5" s="121"/>
      <c r="AN5" s="121"/>
      <c r="AO5" s="121"/>
      <c r="AP5" s="121" t="s">
        <v>62</v>
      </c>
      <c r="AQ5" s="121"/>
      <c r="AR5" s="121"/>
      <c r="AS5" s="121"/>
      <c r="AT5" s="121"/>
      <c r="AU5" s="121" t="s">
        <v>63</v>
      </c>
      <c r="AV5" s="121"/>
      <c r="AW5" s="121"/>
      <c r="AX5" s="121"/>
      <c r="AY5" s="121"/>
      <c r="AZ5" s="121" t="s">
        <v>64</v>
      </c>
      <c r="BA5" s="121"/>
      <c r="BB5" s="121"/>
      <c r="BC5" s="121"/>
      <c r="BD5" s="121"/>
      <c r="BE5" s="121" t="s">
        <v>65</v>
      </c>
      <c r="BF5" s="121"/>
      <c r="BG5" s="121"/>
      <c r="BH5" s="121"/>
      <c r="BI5" s="121"/>
      <c r="BJ5" s="121" t="s">
        <v>66</v>
      </c>
      <c r="BK5" s="121"/>
      <c r="BL5" s="121"/>
      <c r="BM5" s="121"/>
      <c r="BN5" s="121"/>
      <c r="BO5" s="121" t="s">
        <v>67</v>
      </c>
      <c r="BP5" s="121"/>
      <c r="BQ5" s="121"/>
      <c r="BR5" s="121"/>
      <c r="BS5" s="121"/>
      <c r="BT5" s="121" t="s">
        <v>68</v>
      </c>
      <c r="BU5" s="121"/>
      <c r="BV5" s="121"/>
      <c r="BW5" s="121"/>
      <c r="BX5" s="121"/>
      <c r="BY5" s="121" t="s">
        <v>69</v>
      </c>
      <c r="BZ5" s="121"/>
      <c r="CA5" s="121"/>
      <c r="CB5" s="121"/>
      <c r="CC5" s="121"/>
      <c r="CD5" s="121" t="s">
        <v>70</v>
      </c>
      <c r="CE5" s="121"/>
      <c r="CF5" s="121"/>
      <c r="CG5" s="121"/>
      <c r="CH5" s="121"/>
      <c r="CI5" s="121" t="s">
        <v>71</v>
      </c>
      <c r="CJ5" s="121"/>
      <c r="CK5" s="121"/>
      <c r="CL5" s="121"/>
      <c r="CM5" s="121"/>
      <c r="CN5" s="121" t="s">
        <v>72</v>
      </c>
      <c r="CO5" s="121"/>
      <c r="CP5" s="121"/>
      <c r="CQ5" s="121"/>
      <c r="CR5" s="121"/>
      <c r="CS5" s="121" t="s">
        <v>73</v>
      </c>
      <c r="CT5" s="121"/>
      <c r="CU5" s="121"/>
      <c r="CV5" s="121"/>
      <c r="CW5" s="121"/>
      <c r="CX5" s="121" t="s">
        <v>74</v>
      </c>
      <c r="CY5" s="121"/>
      <c r="CZ5" s="121"/>
      <c r="DA5" s="121"/>
      <c r="DB5" s="121"/>
      <c r="DC5" s="121" t="s">
        <v>75</v>
      </c>
      <c r="DD5" s="121"/>
      <c r="DE5" s="121"/>
      <c r="DF5" s="121"/>
      <c r="DG5" s="121"/>
      <c r="DH5" s="121" t="s">
        <v>76</v>
      </c>
      <c r="DI5" s="121"/>
      <c r="DJ5" s="121"/>
      <c r="DK5" s="121"/>
      <c r="DL5" s="121"/>
      <c r="DM5" s="121" t="s">
        <v>77</v>
      </c>
      <c r="DN5" s="121"/>
      <c r="DO5" s="121"/>
      <c r="DP5" s="121"/>
      <c r="DQ5" s="121"/>
      <c r="DR5" s="121" t="s">
        <v>78</v>
      </c>
      <c r="DS5" s="121"/>
      <c r="DT5" s="121"/>
      <c r="DU5" s="121"/>
      <c r="DV5" s="121"/>
      <c r="DW5" s="121" t="s">
        <v>79</v>
      </c>
      <c r="DX5" s="121"/>
      <c r="DY5" s="121"/>
      <c r="DZ5" s="121"/>
      <c r="EA5" s="121"/>
      <c r="EB5" s="121" t="s">
        <v>80</v>
      </c>
      <c r="EC5" s="121"/>
      <c r="ED5" s="121"/>
      <c r="EE5" s="121"/>
      <c r="EF5" s="121"/>
      <c r="EG5" s="121" t="s">
        <v>81</v>
      </c>
      <c r="EH5" s="121"/>
      <c r="EI5" s="121"/>
      <c r="EJ5" s="121"/>
      <c r="EK5" s="121"/>
      <c r="EL5" s="121" t="s">
        <v>82</v>
      </c>
      <c r="EM5" s="121"/>
      <c r="EN5" s="121"/>
      <c r="EO5" s="121"/>
      <c r="EP5" s="121"/>
      <c r="EQ5" s="121" t="s">
        <v>83</v>
      </c>
      <c r="ER5" s="121"/>
      <c r="ES5" s="121"/>
      <c r="ET5" s="121"/>
      <c r="EU5" s="121"/>
      <c r="EV5" s="121" t="s">
        <v>84</v>
      </c>
      <c r="EW5" s="121"/>
      <c r="EX5" s="121"/>
      <c r="EY5" s="121"/>
      <c r="EZ5" s="121"/>
      <c r="FA5" s="121" t="s">
        <v>85</v>
      </c>
      <c r="FB5" s="121"/>
      <c r="FC5" s="121"/>
      <c r="FD5" s="121"/>
      <c r="FE5" s="121"/>
      <c r="FF5" s="121" t="s">
        <v>86</v>
      </c>
      <c r="FG5" s="121"/>
      <c r="FH5" s="121"/>
      <c r="FI5" s="121"/>
      <c r="FJ5" s="121"/>
      <c r="FK5" s="121" t="s">
        <v>87</v>
      </c>
      <c r="FL5" s="121"/>
      <c r="FM5" s="121"/>
      <c r="FN5" s="121"/>
      <c r="FO5" s="121"/>
      <c r="FP5" s="121" t="s">
        <v>88</v>
      </c>
      <c r="FQ5" s="121"/>
      <c r="FR5" s="121"/>
      <c r="FS5" s="121"/>
      <c r="FT5" s="121"/>
      <c r="FU5" s="121" t="s">
        <v>89</v>
      </c>
      <c r="FV5" s="121"/>
      <c r="FW5" s="121"/>
      <c r="FX5" s="121"/>
      <c r="FY5" s="121"/>
      <c r="FZ5" s="121" t="s">
        <v>90</v>
      </c>
      <c r="GA5" s="121"/>
      <c r="GB5" s="121"/>
      <c r="GC5" s="121"/>
      <c r="GD5" s="121"/>
      <c r="GE5" s="121" t="s">
        <v>91</v>
      </c>
      <c r="GF5" s="121"/>
      <c r="GG5" s="121"/>
      <c r="GH5" s="121"/>
      <c r="GI5" s="121"/>
      <c r="GJ5" s="121" t="s">
        <v>92</v>
      </c>
      <c r="GK5" s="121"/>
      <c r="GL5" s="121"/>
      <c r="GM5" s="121"/>
      <c r="GN5" s="121"/>
      <c r="GO5" s="121" t="s">
        <v>93</v>
      </c>
      <c r="GP5" s="121"/>
      <c r="GQ5" s="121"/>
      <c r="GR5" s="121"/>
      <c r="GS5" s="121"/>
      <c r="GT5" s="121" t="s">
        <v>94</v>
      </c>
      <c r="GU5" s="121"/>
      <c r="GV5" s="121"/>
      <c r="GW5" s="121"/>
      <c r="GX5" s="121"/>
      <c r="GY5" s="121" t="s">
        <v>95</v>
      </c>
      <c r="GZ5" s="121"/>
      <c r="HA5" s="121"/>
      <c r="HB5" s="121"/>
      <c r="HC5" s="121"/>
      <c r="HD5" s="121" t="s">
        <v>96</v>
      </c>
      <c r="HE5" s="121"/>
      <c r="HF5" s="121"/>
      <c r="HG5" s="121"/>
      <c r="HH5" s="121"/>
      <c r="HI5" s="121" t="s">
        <v>97</v>
      </c>
      <c r="HJ5" s="121"/>
      <c r="HK5" s="121"/>
      <c r="HL5" s="121"/>
      <c r="HM5" s="121"/>
      <c r="HN5" s="121" t="s">
        <v>98</v>
      </c>
      <c r="HO5" s="121"/>
      <c r="HP5" s="121"/>
      <c r="HQ5" s="121"/>
      <c r="HR5" s="121"/>
      <c r="HS5" s="121" t="s">
        <v>99</v>
      </c>
      <c r="HT5" s="121"/>
      <c r="HU5" s="121"/>
      <c r="HV5" s="121"/>
      <c r="HW5" s="121"/>
      <c r="HX5" s="121" t="s">
        <v>100</v>
      </c>
      <c r="HY5" s="121"/>
      <c r="HZ5" s="121"/>
      <c r="IA5" s="121"/>
      <c r="IB5" s="121"/>
      <c r="IC5" s="121" t="s">
        <v>101</v>
      </c>
      <c r="ID5" s="121"/>
      <c r="IE5" s="121"/>
      <c r="IF5" s="121"/>
      <c r="IG5" s="121"/>
      <c r="IH5" s="121" t="s">
        <v>102</v>
      </c>
      <c r="II5" s="121"/>
      <c r="IJ5" s="121"/>
      <c r="IK5" s="121"/>
      <c r="IL5" s="121"/>
      <c r="IM5" s="121" t="s">
        <v>103</v>
      </c>
      <c r="IN5" s="121"/>
      <c r="IO5" s="121"/>
      <c r="IP5" s="121"/>
      <c r="IQ5" s="121"/>
      <c r="IR5" s="121" t="s">
        <v>104</v>
      </c>
      <c r="IS5" s="121"/>
      <c r="IT5" s="121"/>
      <c r="IU5" s="121"/>
      <c r="IV5" s="121"/>
      <c r="IW5" s="121" t="s">
        <v>105</v>
      </c>
      <c r="IX5" s="121"/>
      <c r="IY5" s="121"/>
      <c r="IZ5" s="121"/>
      <c r="JA5" s="121"/>
      <c r="JB5" s="121" t="s">
        <v>106</v>
      </c>
      <c r="JC5" s="121"/>
      <c r="JD5" s="121"/>
      <c r="JE5" s="121"/>
      <c r="JF5" s="121"/>
      <c r="JG5" s="121" t="s">
        <v>107</v>
      </c>
      <c r="JH5" s="121"/>
      <c r="JI5" s="121"/>
      <c r="JJ5" s="121"/>
      <c r="JK5" s="121"/>
      <c r="JL5" s="121" t="s">
        <v>108</v>
      </c>
      <c r="JM5" s="121"/>
      <c r="JN5" s="121"/>
      <c r="JO5" s="121"/>
      <c r="JP5" s="121"/>
      <c r="JQ5" s="121" t="s">
        <v>109</v>
      </c>
      <c r="JR5" s="121"/>
      <c r="JS5" s="121"/>
      <c r="JT5" s="121"/>
      <c r="JU5" s="121"/>
      <c r="JV5" s="121" t="s">
        <v>110</v>
      </c>
      <c r="JW5" s="121"/>
      <c r="JX5" s="121"/>
      <c r="JY5" s="121"/>
      <c r="JZ5" s="121"/>
      <c r="KA5" s="121" t="s">
        <v>111</v>
      </c>
      <c r="KB5" s="121"/>
      <c r="KC5" s="121"/>
      <c r="KD5" s="121"/>
      <c r="KE5" s="121"/>
      <c r="KF5" s="121" t="s">
        <v>112</v>
      </c>
      <c r="KG5" s="121"/>
      <c r="KH5" s="121"/>
      <c r="KI5" s="121"/>
      <c r="KJ5" s="121"/>
      <c r="KK5" s="121" t="s">
        <v>113</v>
      </c>
      <c r="KL5" s="121"/>
      <c r="KM5" s="121"/>
      <c r="KN5" s="121"/>
      <c r="KO5" s="121"/>
      <c r="KP5" s="121" t="s">
        <v>114</v>
      </c>
      <c r="KQ5" s="121"/>
      <c r="KR5" s="121"/>
      <c r="KS5" s="121"/>
      <c r="KT5" s="121"/>
      <c r="KU5" s="121" t="s">
        <v>115</v>
      </c>
      <c r="KV5" s="121"/>
      <c r="KW5" s="121"/>
      <c r="KX5" s="121"/>
      <c r="KY5" s="121"/>
      <c r="KZ5" s="121" t="s">
        <v>116</v>
      </c>
      <c r="LA5" s="121"/>
      <c r="LB5" s="121"/>
      <c r="LC5" s="121"/>
      <c r="LD5" s="121"/>
      <c r="LE5" s="121" t="s">
        <v>117</v>
      </c>
      <c r="LF5" s="121"/>
      <c r="LG5" s="121"/>
      <c r="LH5" s="121"/>
      <c r="LI5" s="121"/>
      <c r="LJ5" s="121" t="s">
        <v>118</v>
      </c>
      <c r="LK5" s="121"/>
      <c r="LL5" s="121"/>
      <c r="LM5" s="121"/>
      <c r="LN5" s="121"/>
      <c r="LO5" s="121" t="s">
        <v>119</v>
      </c>
      <c r="LP5" s="121"/>
      <c r="LQ5" s="121"/>
      <c r="LR5" s="121"/>
      <c r="LS5" s="121"/>
      <c r="LT5" s="121" t="s">
        <v>120</v>
      </c>
      <c r="LU5" s="121"/>
      <c r="LV5" s="121"/>
      <c r="LW5" s="121"/>
      <c r="LX5" s="121"/>
      <c r="LY5" s="121" t="s">
        <v>121</v>
      </c>
      <c r="LZ5" s="121"/>
      <c r="MA5" s="121"/>
      <c r="MB5" s="121"/>
      <c r="MC5" s="121"/>
      <c r="MD5" s="121" t="s">
        <v>122</v>
      </c>
      <c r="ME5" s="121"/>
      <c r="MF5" s="121"/>
      <c r="MG5" s="121"/>
      <c r="MH5" s="121"/>
      <c r="MI5" s="121" t="s">
        <v>123</v>
      </c>
      <c r="MJ5" s="121"/>
      <c r="MK5" s="121"/>
      <c r="ML5" s="121"/>
      <c r="MM5" s="121"/>
      <c r="MN5" s="121" t="s">
        <v>124</v>
      </c>
      <c r="MO5" s="121"/>
      <c r="MP5" s="121"/>
      <c r="MQ5" s="121"/>
      <c r="MR5" s="121"/>
      <c r="MS5" s="121" t="s">
        <v>125</v>
      </c>
      <c r="MT5" s="121"/>
      <c r="MU5" s="121"/>
      <c r="MV5" s="121"/>
      <c r="MW5" s="121"/>
      <c r="MX5" s="133" t="s">
        <v>126</v>
      </c>
      <c r="MY5" s="134"/>
      <c r="MZ5" s="134"/>
      <c r="NA5" s="134"/>
      <c r="NB5" s="135"/>
      <c r="NC5" s="133" t="s">
        <v>127</v>
      </c>
      <c r="ND5" s="134"/>
      <c r="NE5" s="134"/>
      <c r="NF5" s="134"/>
      <c r="NG5" s="135"/>
      <c r="NH5" s="133" t="s">
        <v>148</v>
      </c>
      <c r="NI5" s="134"/>
      <c r="NJ5" s="134"/>
      <c r="NK5" s="134"/>
      <c r="NL5" s="135"/>
      <c r="NM5" s="129" t="s">
        <v>130</v>
      </c>
      <c r="NN5" s="130"/>
      <c r="NO5" s="130"/>
      <c r="NP5" s="131"/>
      <c r="NQ5" s="126" t="s">
        <v>150</v>
      </c>
      <c r="NR5" s="127"/>
      <c r="NS5" s="127"/>
      <c r="NT5" s="132"/>
      <c r="NU5" s="23"/>
    </row>
    <row r="6" spans="1:385" ht="36" customHeight="1">
      <c r="A6" s="23"/>
      <c r="B6" s="137"/>
      <c r="C6" s="49" t="s">
        <v>53</v>
      </c>
      <c r="D6" s="50" t="s">
        <v>2</v>
      </c>
      <c r="E6" s="50" t="s">
        <v>3</v>
      </c>
      <c r="F6" s="50" t="s">
        <v>4</v>
      </c>
      <c r="G6" s="49" t="s">
        <v>53</v>
      </c>
      <c r="H6" s="50" t="s">
        <v>2</v>
      </c>
      <c r="I6" s="50" t="s">
        <v>3</v>
      </c>
      <c r="J6" s="50" t="s">
        <v>4</v>
      </c>
      <c r="K6" s="49" t="s">
        <v>5</v>
      </c>
      <c r="L6" s="49" t="s">
        <v>53</v>
      </c>
      <c r="M6" s="50" t="s">
        <v>2</v>
      </c>
      <c r="N6" s="50" t="s">
        <v>3</v>
      </c>
      <c r="O6" s="50" t="s">
        <v>4</v>
      </c>
      <c r="P6" s="49" t="s">
        <v>5</v>
      </c>
      <c r="Q6" s="49" t="s">
        <v>53</v>
      </c>
      <c r="R6" s="50" t="s">
        <v>2</v>
      </c>
      <c r="S6" s="50" t="s">
        <v>3</v>
      </c>
      <c r="T6" s="50" t="s">
        <v>4</v>
      </c>
      <c r="U6" s="49" t="s">
        <v>5</v>
      </c>
      <c r="V6" s="49" t="s">
        <v>53</v>
      </c>
      <c r="W6" s="50" t="s">
        <v>2</v>
      </c>
      <c r="X6" s="50" t="s">
        <v>3</v>
      </c>
      <c r="Y6" s="50" t="s">
        <v>4</v>
      </c>
      <c r="Z6" s="49" t="s">
        <v>5</v>
      </c>
      <c r="AA6" s="49" t="s">
        <v>53</v>
      </c>
      <c r="AB6" s="50" t="s">
        <v>2</v>
      </c>
      <c r="AC6" s="50" t="s">
        <v>3</v>
      </c>
      <c r="AD6" s="50" t="s">
        <v>4</v>
      </c>
      <c r="AE6" s="49" t="s">
        <v>5</v>
      </c>
      <c r="AF6" s="49" t="s">
        <v>53</v>
      </c>
      <c r="AG6" s="50" t="s">
        <v>2</v>
      </c>
      <c r="AH6" s="50" t="s">
        <v>3</v>
      </c>
      <c r="AI6" s="50" t="s">
        <v>4</v>
      </c>
      <c r="AJ6" s="49" t="s">
        <v>5</v>
      </c>
      <c r="AK6" s="49" t="s">
        <v>53</v>
      </c>
      <c r="AL6" s="50" t="s">
        <v>2</v>
      </c>
      <c r="AM6" s="50" t="s">
        <v>3</v>
      </c>
      <c r="AN6" s="50" t="s">
        <v>4</v>
      </c>
      <c r="AO6" s="49" t="s">
        <v>5</v>
      </c>
      <c r="AP6" s="49" t="s">
        <v>53</v>
      </c>
      <c r="AQ6" s="50" t="s">
        <v>2</v>
      </c>
      <c r="AR6" s="50" t="s">
        <v>3</v>
      </c>
      <c r="AS6" s="50" t="s">
        <v>4</v>
      </c>
      <c r="AT6" s="49" t="s">
        <v>5</v>
      </c>
      <c r="AU6" s="49" t="s">
        <v>53</v>
      </c>
      <c r="AV6" s="50" t="s">
        <v>2</v>
      </c>
      <c r="AW6" s="50" t="s">
        <v>3</v>
      </c>
      <c r="AX6" s="50" t="s">
        <v>4</v>
      </c>
      <c r="AY6" s="49" t="s">
        <v>5</v>
      </c>
      <c r="AZ6" s="49" t="s">
        <v>53</v>
      </c>
      <c r="BA6" s="50" t="s">
        <v>2</v>
      </c>
      <c r="BB6" s="50" t="s">
        <v>3</v>
      </c>
      <c r="BC6" s="50" t="s">
        <v>4</v>
      </c>
      <c r="BD6" s="49" t="s">
        <v>5</v>
      </c>
      <c r="BE6" s="49" t="s">
        <v>53</v>
      </c>
      <c r="BF6" s="50" t="s">
        <v>2</v>
      </c>
      <c r="BG6" s="50" t="s">
        <v>3</v>
      </c>
      <c r="BH6" s="50" t="s">
        <v>4</v>
      </c>
      <c r="BI6" s="49" t="s">
        <v>5</v>
      </c>
      <c r="BJ6" s="49" t="s">
        <v>53</v>
      </c>
      <c r="BK6" s="50" t="s">
        <v>2</v>
      </c>
      <c r="BL6" s="50" t="s">
        <v>3</v>
      </c>
      <c r="BM6" s="50" t="s">
        <v>4</v>
      </c>
      <c r="BN6" s="49" t="s">
        <v>5</v>
      </c>
      <c r="BO6" s="49" t="s">
        <v>53</v>
      </c>
      <c r="BP6" s="50" t="s">
        <v>2</v>
      </c>
      <c r="BQ6" s="50" t="s">
        <v>3</v>
      </c>
      <c r="BR6" s="50" t="s">
        <v>4</v>
      </c>
      <c r="BS6" s="49" t="s">
        <v>5</v>
      </c>
      <c r="BT6" s="49" t="s">
        <v>53</v>
      </c>
      <c r="BU6" s="50" t="s">
        <v>2</v>
      </c>
      <c r="BV6" s="50" t="s">
        <v>3</v>
      </c>
      <c r="BW6" s="50" t="s">
        <v>4</v>
      </c>
      <c r="BX6" s="49" t="s">
        <v>5</v>
      </c>
      <c r="BY6" s="49" t="s">
        <v>53</v>
      </c>
      <c r="BZ6" s="50" t="s">
        <v>2</v>
      </c>
      <c r="CA6" s="50" t="s">
        <v>3</v>
      </c>
      <c r="CB6" s="50" t="s">
        <v>4</v>
      </c>
      <c r="CC6" s="49" t="s">
        <v>5</v>
      </c>
      <c r="CD6" s="49" t="s">
        <v>53</v>
      </c>
      <c r="CE6" s="50" t="s">
        <v>2</v>
      </c>
      <c r="CF6" s="50" t="s">
        <v>3</v>
      </c>
      <c r="CG6" s="50" t="s">
        <v>4</v>
      </c>
      <c r="CH6" s="49" t="s">
        <v>5</v>
      </c>
      <c r="CI6" s="49" t="s">
        <v>53</v>
      </c>
      <c r="CJ6" s="50" t="s">
        <v>2</v>
      </c>
      <c r="CK6" s="50" t="s">
        <v>3</v>
      </c>
      <c r="CL6" s="50" t="s">
        <v>4</v>
      </c>
      <c r="CM6" s="49" t="s">
        <v>5</v>
      </c>
      <c r="CN6" s="49" t="s">
        <v>53</v>
      </c>
      <c r="CO6" s="50" t="s">
        <v>2</v>
      </c>
      <c r="CP6" s="50" t="s">
        <v>3</v>
      </c>
      <c r="CQ6" s="50" t="s">
        <v>4</v>
      </c>
      <c r="CR6" s="49" t="s">
        <v>5</v>
      </c>
      <c r="CS6" s="49" t="s">
        <v>53</v>
      </c>
      <c r="CT6" s="50" t="s">
        <v>2</v>
      </c>
      <c r="CU6" s="50" t="s">
        <v>3</v>
      </c>
      <c r="CV6" s="50" t="s">
        <v>4</v>
      </c>
      <c r="CW6" s="49" t="s">
        <v>5</v>
      </c>
      <c r="CX6" s="49" t="s">
        <v>53</v>
      </c>
      <c r="CY6" s="50" t="s">
        <v>2</v>
      </c>
      <c r="CZ6" s="50" t="s">
        <v>3</v>
      </c>
      <c r="DA6" s="50" t="s">
        <v>4</v>
      </c>
      <c r="DB6" s="49" t="s">
        <v>5</v>
      </c>
      <c r="DC6" s="49" t="s">
        <v>53</v>
      </c>
      <c r="DD6" s="50" t="s">
        <v>2</v>
      </c>
      <c r="DE6" s="50" t="s">
        <v>3</v>
      </c>
      <c r="DF6" s="50" t="s">
        <v>4</v>
      </c>
      <c r="DG6" s="49" t="s">
        <v>5</v>
      </c>
      <c r="DH6" s="49" t="s">
        <v>53</v>
      </c>
      <c r="DI6" s="50" t="s">
        <v>2</v>
      </c>
      <c r="DJ6" s="50" t="s">
        <v>3</v>
      </c>
      <c r="DK6" s="50" t="s">
        <v>4</v>
      </c>
      <c r="DL6" s="49" t="s">
        <v>5</v>
      </c>
      <c r="DM6" s="49" t="s">
        <v>53</v>
      </c>
      <c r="DN6" s="50" t="s">
        <v>2</v>
      </c>
      <c r="DO6" s="50" t="s">
        <v>3</v>
      </c>
      <c r="DP6" s="50" t="s">
        <v>4</v>
      </c>
      <c r="DQ6" s="49" t="s">
        <v>5</v>
      </c>
      <c r="DR6" s="49" t="s">
        <v>53</v>
      </c>
      <c r="DS6" s="50" t="s">
        <v>2</v>
      </c>
      <c r="DT6" s="50" t="s">
        <v>3</v>
      </c>
      <c r="DU6" s="50" t="s">
        <v>4</v>
      </c>
      <c r="DV6" s="49" t="s">
        <v>5</v>
      </c>
      <c r="DW6" s="49" t="s">
        <v>53</v>
      </c>
      <c r="DX6" s="50" t="s">
        <v>2</v>
      </c>
      <c r="DY6" s="50" t="s">
        <v>3</v>
      </c>
      <c r="DZ6" s="50" t="s">
        <v>4</v>
      </c>
      <c r="EA6" s="49" t="s">
        <v>5</v>
      </c>
      <c r="EB6" s="49" t="s">
        <v>53</v>
      </c>
      <c r="EC6" s="50" t="s">
        <v>2</v>
      </c>
      <c r="ED6" s="50" t="s">
        <v>3</v>
      </c>
      <c r="EE6" s="50" t="s">
        <v>4</v>
      </c>
      <c r="EF6" s="49" t="s">
        <v>5</v>
      </c>
      <c r="EG6" s="49" t="s">
        <v>53</v>
      </c>
      <c r="EH6" s="50" t="s">
        <v>2</v>
      </c>
      <c r="EI6" s="50" t="s">
        <v>3</v>
      </c>
      <c r="EJ6" s="50" t="s">
        <v>4</v>
      </c>
      <c r="EK6" s="49" t="s">
        <v>5</v>
      </c>
      <c r="EL6" s="49" t="s">
        <v>53</v>
      </c>
      <c r="EM6" s="50" t="s">
        <v>2</v>
      </c>
      <c r="EN6" s="50" t="s">
        <v>3</v>
      </c>
      <c r="EO6" s="50" t="s">
        <v>4</v>
      </c>
      <c r="EP6" s="49" t="s">
        <v>5</v>
      </c>
      <c r="EQ6" s="49" t="s">
        <v>53</v>
      </c>
      <c r="ER6" s="50" t="s">
        <v>2</v>
      </c>
      <c r="ES6" s="50" t="s">
        <v>3</v>
      </c>
      <c r="ET6" s="50" t="s">
        <v>4</v>
      </c>
      <c r="EU6" s="49" t="s">
        <v>5</v>
      </c>
      <c r="EV6" s="49" t="s">
        <v>53</v>
      </c>
      <c r="EW6" s="50" t="s">
        <v>2</v>
      </c>
      <c r="EX6" s="50" t="s">
        <v>3</v>
      </c>
      <c r="EY6" s="50" t="s">
        <v>4</v>
      </c>
      <c r="EZ6" s="49" t="s">
        <v>5</v>
      </c>
      <c r="FA6" s="49" t="s">
        <v>53</v>
      </c>
      <c r="FB6" s="50" t="s">
        <v>2</v>
      </c>
      <c r="FC6" s="50" t="s">
        <v>3</v>
      </c>
      <c r="FD6" s="50" t="s">
        <v>4</v>
      </c>
      <c r="FE6" s="49" t="s">
        <v>5</v>
      </c>
      <c r="FF6" s="49" t="s">
        <v>53</v>
      </c>
      <c r="FG6" s="50" t="s">
        <v>2</v>
      </c>
      <c r="FH6" s="50" t="s">
        <v>3</v>
      </c>
      <c r="FI6" s="50" t="s">
        <v>4</v>
      </c>
      <c r="FJ6" s="49" t="s">
        <v>5</v>
      </c>
      <c r="FK6" s="49" t="s">
        <v>53</v>
      </c>
      <c r="FL6" s="50" t="s">
        <v>2</v>
      </c>
      <c r="FM6" s="50" t="s">
        <v>3</v>
      </c>
      <c r="FN6" s="50" t="s">
        <v>4</v>
      </c>
      <c r="FO6" s="49" t="s">
        <v>5</v>
      </c>
      <c r="FP6" s="49" t="s">
        <v>53</v>
      </c>
      <c r="FQ6" s="50" t="s">
        <v>2</v>
      </c>
      <c r="FR6" s="50" t="s">
        <v>3</v>
      </c>
      <c r="FS6" s="50" t="s">
        <v>4</v>
      </c>
      <c r="FT6" s="49" t="s">
        <v>5</v>
      </c>
      <c r="FU6" s="49" t="s">
        <v>53</v>
      </c>
      <c r="FV6" s="50" t="s">
        <v>2</v>
      </c>
      <c r="FW6" s="50" t="s">
        <v>3</v>
      </c>
      <c r="FX6" s="50" t="s">
        <v>4</v>
      </c>
      <c r="FY6" s="49" t="s">
        <v>5</v>
      </c>
      <c r="FZ6" s="49" t="s">
        <v>53</v>
      </c>
      <c r="GA6" s="50" t="s">
        <v>2</v>
      </c>
      <c r="GB6" s="50" t="s">
        <v>3</v>
      </c>
      <c r="GC6" s="50" t="s">
        <v>4</v>
      </c>
      <c r="GD6" s="49" t="s">
        <v>5</v>
      </c>
      <c r="GE6" s="49" t="s">
        <v>53</v>
      </c>
      <c r="GF6" s="50" t="s">
        <v>2</v>
      </c>
      <c r="GG6" s="50" t="s">
        <v>3</v>
      </c>
      <c r="GH6" s="50" t="s">
        <v>4</v>
      </c>
      <c r="GI6" s="49" t="s">
        <v>5</v>
      </c>
      <c r="GJ6" s="49" t="s">
        <v>53</v>
      </c>
      <c r="GK6" s="50" t="s">
        <v>2</v>
      </c>
      <c r="GL6" s="50" t="s">
        <v>3</v>
      </c>
      <c r="GM6" s="50" t="s">
        <v>4</v>
      </c>
      <c r="GN6" s="49" t="s">
        <v>5</v>
      </c>
      <c r="GO6" s="49" t="s">
        <v>53</v>
      </c>
      <c r="GP6" s="50" t="s">
        <v>2</v>
      </c>
      <c r="GQ6" s="50" t="s">
        <v>3</v>
      </c>
      <c r="GR6" s="50" t="s">
        <v>4</v>
      </c>
      <c r="GS6" s="49" t="s">
        <v>5</v>
      </c>
      <c r="GT6" s="49" t="s">
        <v>53</v>
      </c>
      <c r="GU6" s="50" t="s">
        <v>2</v>
      </c>
      <c r="GV6" s="50" t="s">
        <v>3</v>
      </c>
      <c r="GW6" s="50" t="s">
        <v>4</v>
      </c>
      <c r="GX6" s="49" t="s">
        <v>5</v>
      </c>
      <c r="GY6" s="49" t="s">
        <v>53</v>
      </c>
      <c r="GZ6" s="50" t="s">
        <v>2</v>
      </c>
      <c r="HA6" s="50" t="s">
        <v>3</v>
      </c>
      <c r="HB6" s="50" t="s">
        <v>4</v>
      </c>
      <c r="HC6" s="49" t="s">
        <v>5</v>
      </c>
      <c r="HD6" s="49" t="s">
        <v>53</v>
      </c>
      <c r="HE6" s="50" t="s">
        <v>2</v>
      </c>
      <c r="HF6" s="50" t="s">
        <v>3</v>
      </c>
      <c r="HG6" s="50" t="s">
        <v>4</v>
      </c>
      <c r="HH6" s="49" t="s">
        <v>5</v>
      </c>
      <c r="HI6" s="49" t="s">
        <v>53</v>
      </c>
      <c r="HJ6" s="50" t="s">
        <v>2</v>
      </c>
      <c r="HK6" s="50" t="s">
        <v>3</v>
      </c>
      <c r="HL6" s="50" t="s">
        <v>4</v>
      </c>
      <c r="HM6" s="49" t="s">
        <v>5</v>
      </c>
      <c r="HN6" s="49" t="s">
        <v>53</v>
      </c>
      <c r="HO6" s="50" t="s">
        <v>2</v>
      </c>
      <c r="HP6" s="50" t="s">
        <v>3</v>
      </c>
      <c r="HQ6" s="50" t="s">
        <v>4</v>
      </c>
      <c r="HR6" s="49" t="s">
        <v>5</v>
      </c>
      <c r="HS6" s="49" t="s">
        <v>53</v>
      </c>
      <c r="HT6" s="50" t="s">
        <v>2</v>
      </c>
      <c r="HU6" s="50" t="s">
        <v>3</v>
      </c>
      <c r="HV6" s="50" t="s">
        <v>4</v>
      </c>
      <c r="HW6" s="49" t="s">
        <v>5</v>
      </c>
      <c r="HX6" s="49" t="s">
        <v>53</v>
      </c>
      <c r="HY6" s="50" t="s">
        <v>2</v>
      </c>
      <c r="HZ6" s="50" t="s">
        <v>3</v>
      </c>
      <c r="IA6" s="50" t="s">
        <v>4</v>
      </c>
      <c r="IB6" s="49" t="s">
        <v>5</v>
      </c>
      <c r="IC6" s="49" t="s">
        <v>131</v>
      </c>
      <c r="ID6" s="50" t="s">
        <v>2</v>
      </c>
      <c r="IE6" s="50" t="s">
        <v>3</v>
      </c>
      <c r="IF6" s="50" t="s">
        <v>4</v>
      </c>
      <c r="IG6" s="49" t="s">
        <v>5</v>
      </c>
      <c r="IH6" s="49" t="s">
        <v>53</v>
      </c>
      <c r="II6" s="50" t="s">
        <v>2</v>
      </c>
      <c r="IJ6" s="50" t="s">
        <v>3</v>
      </c>
      <c r="IK6" s="50" t="s">
        <v>4</v>
      </c>
      <c r="IL6" s="49" t="s">
        <v>5</v>
      </c>
      <c r="IM6" s="49" t="s">
        <v>53</v>
      </c>
      <c r="IN6" s="50" t="s">
        <v>2</v>
      </c>
      <c r="IO6" s="50" t="s">
        <v>3</v>
      </c>
      <c r="IP6" s="50" t="s">
        <v>4</v>
      </c>
      <c r="IQ6" s="49" t="s">
        <v>5</v>
      </c>
      <c r="IR6" s="49" t="s">
        <v>53</v>
      </c>
      <c r="IS6" s="50" t="s">
        <v>2</v>
      </c>
      <c r="IT6" s="50" t="s">
        <v>3</v>
      </c>
      <c r="IU6" s="50" t="s">
        <v>4</v>
      </c>
      <c r="IV6" s="49" t="s">
        <v>5</v>
      </c>
      <c r="IW6" s="49" t="s">
        <v>53</v>
      </c>
      <c r="IX6" s="50" t="s">
        <v>2</v>
      </c>
      <c r="IY6" s="50" t="s">
        <v>3</v>
      </c>
      <c r="IZ6" s="50" t="s">
        <v>4</v>
      </c>
      <c r="JA6" s="49" t="s">
        <v>5</v>
      </c>
      <c r="JB6" s="49" t="s">
        <v>53</v>
      </c>
      <c r="JC6" s="50" t="s">
        <v>2</v>
      </c>
      <c r="JD6" s="50" t="s">
        <v>3</v>
      </c>
      <c r="JE6" s="50" t="s">
        <v>4</v>
      </c>
      <c r="JF6" s="49" t="s">
        <v>5</v>
      </c>
      <c r="JG6" s="49" t="s">
        <v>53</v>
      </c>
      <c r="JH6" s="50" t="s">
        <v>2</v>
      </c>
      <c r="JI6" s="50" t="s">
        <v>3</v>
      </c>
      <c r="JJ6" s="50" t="s">
        <v>4</v>
      </c>
      <c r="JK6" s="49" t="s">
        <v>5</v>
      </c>
      <c r="JL6" s="49" t="s">
        <v>53</v>
      </c>
      <c r="JM6" s="50" t="s">
        <v>2</v>
      </c>
      <c r="JN6" s="50" t="s">
        <v>3</v>
      </c>
      <c r="JO6" s="50" t="s">
        <v>4</v>
      </c>
      <c r="JP6" s="49" t="s">
        <v>5</v>
      </c>
      <c r="JQ6" s="49" t="s">
        <v>53</v>
      </c>
      <c r="JR6" s="50" t="s">
        <v>2</v>
      </c>
      <c r="JS6" s="50" t="s">
        <v>3</v>
      </c>
      <c r="JT6" s="50" t="s">
        <v>4</v>
      </c>
      <c r="JU6" s="49" t="s">
        <v>5</v>
      </c>
      <c r="JV6" s="49" t="s">
        <v>53</v>
      </c>
      <c r="JW6" s="50" t="s">
        <v>2</v>
      </c>
      <c r="JX6" s="50" t="s">
        <v>3</v>
      </c>
      <c r="JY6" s="50" t="s">
        <v>4</v>
      </c>
      <c r="JZ6" s="49" t="s">
        <v>5</v>
      </c>
      <c r="KA6" s="49" t="s">
        <v>53</v>
      </c>
      <c r="KB6" s="50" t="s">
        <v>2</v>
      </c>
      <c r="KC6" s="50" t="s">
        <v>3</v>
      </c>
      <c r="KD6" s="50" t="s">
        <v>4</v>
      </c>
      <c r="KE6" s="49" t="s">
        <v>5</v>
      </c>
      <c r="KF6" s="49" t="s">
        <v>53</v>
      </c>
      <c r="KG6" s="50" t="s">
        <v>2</v>
      </c>
      <c r="KH6" s="50" t="s">
        <v>3</v>
      </c>
      <c r="KI6" s="50" t="s">
        <v>4</v>
      </c>
      <c r="KJ6" s="49" t="s">
        <v>5</v>
      </c>
      <c r="KK6" s="49" t="s">
        <v>53</v>
      </c>
      <c r="KL6" s="50" t="s">
        <v>2</v>
      </c>
      <c r="KM6" s="50" t="s">
        <v>3</v>
      </c>
      <c r="KN6" s="50" t="s">
        <v>4</v>
      </c>
      <c r="KO6" s="49" t="s">
        <v>5</v>
      </c>
      <c r="KP6" s="49" t="s">
        <v>53</v>
      </c>
      <c r="KQ6" s="50" t="s">
        <v>2</v>
      </c>
      <c r="KR6" s="50" t="s">
        <v>3</v>
      </c>
      <c r="KS6" s="50" t="s">
        <v>4</v>
      </c>
      <c r="KT6" s="49" t="s">
        <v>5</v>
      </c>
      <c r="KU6" s="49" t="s">
        <v>53</v>
      </c>
      <c r="KV6" s="50" t="s">
        <v>2</v>
      </c>
      <c r="KW6" s="50" t="s">
        <v>3</v>
      </c>
      <c r="KX6" s="50" t="s">
        <v>4</v>
      </c>
      <c r="KY6" s="49" t="s">
        <v>5</v>
      </c>
      <c r="KZ6" s="49" t="s">
        <v>53</v>
      </c>
      <c r="LA6" s="50" t="s">
        <v>2</v>
      </c>
      <c r="LB6" s="50" t="s">
        <v>3</v>
      </c>
      <c r="LC6" s="50" t="s">
        <v>4</v>
      </c>
      <c r="LD6" s="49" t="s">
        <v>5</v>
      </c>
      <c r="LE6" s="49" t="s">
        <v>53</v>
      </c>
      <c r="LF6" s="50" t="s">
        <v>2</v>
      </c>
      <c r="LG6" s="50" t="s">
        <v>3</v>
      </c>
      <c r="LH6" s="50" t="s">
        <v>4</v>
      </c>
      <c r="LI6" s="49" t="s">
        <v>5</v>
      </c>
      <c r="LJ6" s="49" t="s">
        <v>53</v>
      </c>
      <c r="LK6" s="50" t="s">
        <v>2</v>
      </c>
      <c r="LL6" s="50" t="s">
        <v>3</v>
      </c>
      <c r="LM6" s="50" t="s">
        <v>4</v>
      </c>
      <c r="LN6" s="49" t="s">
        <v>5</v>
      </c>
      <c r="LO6" s="49" t="s">
        <v>53</v>
      </c>
      <c r="LP6" s="50" t="s">
        <v>2</v>
      </c>
      <c r="LQ6" s="50" t="s">
        <v>3</v>
      </c>
      <c r="LR6" s="50" t="s">
        <v>4</v>
      </c>
      <c r="LS6" s="49" t="s">
        <v>5</v>
      </c>
      <c r="LT6" s="49" t="s">
        <v>53</v>
      </c>
      <c r="LU6" s="50" t="s">
        <v>2</v>
      </c>
      <c r="LV6" s="50" t="s">
        <v>3</v>
      </c>
      <c r="LW6" s="50" t="s">
        <v>4</v>
      </c>
      <c r="LX6" s="49" t="s">
        <v>5</v>
      </c>
      <c r="LY6" s="49" t="s">
        <v>53</v>
      </c>
      <c r="LZ6" s="50" t="s">
        <v>2</v>
      </c>
      <c r="MA6" s="50" t="s">
        <v>3</v>
      </c>
      <c r="MB6" s="50" t="s">
        <v>4</v>
      </c>
      <c r="MC6" s="49" t="s">
        <v>5</v>
      </c>
      <c r="MD6" s="49" t="s">
        <v>53</v>
      </c>
      <c r="ME6" s="50" t="s">
        <v>2</v>
      </c>
      <c r="MF6" s="50" t="s">
        <v>3</v>
      </c>
      <c r="MG6" s="50" t="s">
        <v>4</v>
      </c>
      <c r="MH6" s="49" t="s">
        <v>5</v>
      </c>
      <c r="MI6" s="49" t="s">
        <v>53</v>
      </c>
      <c r="MJ6" s="50" t="s">
        <v>2</v>
      </c>
      <c r="MK6" s="50" t="s">
        <v>3</v>
      </c>
      <c r="ML6" s="50" t="s">
        <v>4</v>
      </c>
      <c r="MM6" s="49" t="s">
        <v>5</v>
      </c>
      <c r="MN6" s="49" t="s">
        <v>53</v>
      </c>
      <c r="MO6" s="50" t="s">
        <v>2</v>
      </c>
      <c r="MP6" s="50" t="s">
        <v>3</v>
      </c>
      <c r="MQ6" s="50" t="s">
        <v>4</v>
      </c>
      <c r="MR6" s="49" t="s">
        <v>5</v>
      </c>
      <c r="MS6" s="49" t="s">
        <v>53</v>
      </c>
      <c r="MT6" s="50" t="s">
        <v>2</v>
      </c>
      <c r="MU6" s="50" t="s">
        <v>3</v>
      </c>
      <c r="MV6" s="50" t="s">
        <v>4</v>
      </c>
      <c r="MW6" s="49" t="s">
        <v>5</v>
      </c>
      <c r="MX6" s="49" t="s">
        <v>53</v>
      </c>
      <c r="MY6" s="49" t="s">
        <v>2</v>
      </c>
      <c r="MZ6" s="49" t="s">
        <v>3</v>
      </c>
      <c r="NA6" s="49" t="s">
        <v>4</v>
      </c>
      <c r="NB6" s="49" t="s">
        <v>5</v>
      </c>
      <c r="NC6" s="49" t="s">
        <v>53</v>
      </c>
      <c r="ND6" s="49" t="s">
        <v>2</v>
      </c>
      <c r="NE6" s="49" t="s">
        <v>3</v>
      </c>
      <c r="NF6" s="49" t="s">
        <v>4</v>
      </c>
      <c r="NG6" s="49" t="s">
        <v>5</v>
      </c>
      <c r="NH6" s="49" t="s">
        <v>53</v>
      </c>
      <c r="NI6" s="49" t="s">
        <v>2</v>
      </c>
      <c r="NJ6" s="49" t="s">
        <v>3</v>
      </c>
      <c r="NK6" s="49" t="s">
        <v>4</v>
      </c>
      <c r="NL6" s="49" t="s">
        <v>5</v>
      </c>
      <c r="NM6" s="49" t="s">
        <v>2</v>
      </c>
      <c r="NN6" s="49" t="s">
        <v>3</v>
      </c>
      <c r="NO6" s="49" t="s">
        <v>4</v>
      </c>
      <c r="NP6" s="49" t="s">
        <v>5</v>
      </c>
      <c r="NQ6" s="106" t="s">
        <v>2</v>
      </c>
      <c r="NR6" s="106" t="s">
        <v>3</v>
      </c>
      <c r="NS6" s="106" t="s">
        <v>4</v>
      </c>
      <c r="NT6" s="107" t="s">
        <v>5</v>
      </c>
      <c r="NU6" s="23"/>
    </row>
    <row r="7" spans="1:385" s="98" customFormat="1" ht="31.5" customHeight="1" thickBot="1">
      <c r="A7" s="97"/>
      <c r="B7" s="35" t="s">
        <v>6</v>
      </c>
      <c r="C7" s="36">
        <f>G7-J7</f>
        <v>39096568</v>
      </c>
      <c r="D7" s="36">
        <v>1384986</v>
      </c>
      <c r="E7" s="36">
        <v>1292308</v>
      </c>
      <c r="F7" s="36">
        <v>92678</v>
      </c>
      <c r="G7" s="36">
        <f>L7-O7</f>
        <v>39294936</v>
      </c>
      <c r="H7" s="36">
        <v>1483832</v>
      </c>
      <c r="I7" s="36">
        <v>1285464</v>
      </c>
      <c r="J7" s="36">
        <v>198368</v>
      </c>
      <c r="K7" s="47">
        <f t="shared" ref="K7:K10" si="0">(J7/C7)*100</f>
        <v>0.5073795735728005</v>
      </c>
      <c r="L7" s="36">
        <f>Q7-T7</f>
        <v>39062620</v>
      </c>
      <c r="M7" s="36">
        <v>1347665</v>
      </c>
      <c r="N7" s="36">
        <v>1579981</v>
      </c>
      <c r="O7" s="36">
        <v>-232316</v>
      </c>
      <c r="P7" s="47">
        <f>(O7/G7)*100</f>
        <v>-0.59121104052695239</v>
      </c>
      <c r="Q7" s="36">
        <f>V7-Y7</f>
        <v>38160303</v>
      </c>
      <c r="R7" s="36">
        <v>617644</v>
      </c>
      <c r="S7" s="36">
        <v>1519961</v>
      </c>
      <c r="T7" s="36">
        <v>-902317</v>
      </c>
      <c r="U7" s="47">
        <f>(T7/L7)*100</f>
        <v>-2.3099244239121695</v>
      </c>
      <c r="V7" s="36">
        <f>AA7-AD7</f>
        <v>37807513</v>
      </c>
      <c r="W7" s="36">
        <v>716330</v>
      </c>
      <c r="X7" s="36">
        <v>1069120</v>
      </c>
      <c r="Y7" s="36">
        <v>-352790</v>
      </c>
      <c r="Z7" s="47">
        <f>(Y7/Q7)*100</f>
        <v>-0.92449475571512107</v>
      </c>
      <c r="AA7" s="36">
        <f>AF7-AI7</f>
        <v>37784402</v>
      </c>
      <c r="AB7" s="36">
        <v>910176</v>
      </c>
      <c r="AC7" s="36">
        <v>933287</v>
      </c>
      <c r="AD7" s="36">
        <v>-23111</v>
      </c>
      <c r="AE7" s="47">
        <f>(AD7/V7)*100</f>
        <v>-6.1128062033596331E-2</v>
      </c>
      <c r="AF7" s="36">
        <f>AK7-AN7</f>
        <v>37907699</v>
      </c>
      <c r="AG7" s="36">
        <v>1061898</v>
      </c>
      <c r="AH7" s="36">
        <v>938601</v>
      </c>
      <c r="AI7" s="36">
        <v>123297</v>
      </c>
      <c r="AJ7" s="47">
        <f>(AI7/AA7)*100</f>
        <v>0.32631719300466894</v>
      </c>
      <c r="AK7" s="36">
        <f>AP7-AS7</f>
        <v>38145824</v>
      </c>
      <c r="AL7" s="36">
        <v>1257362</v>
      </c>
      <c r="AM7" s="36">
        <v>1019237</v>
      </c>
      <c r="AN7" s="36">
        <v>238125</v>
      </c>
      <c r="AO7" s="47">
        <f>(AN7/AF7)*100</f>
        <v>0.62817054656891735</v>
      </c>
      <c r="AP7" s="36">
        <f>AU7-AX7</f>
        <v>38459388</v>
      </c>
      <c r="AQ7" s="36">
        <v>1406746</v>
      </c>
      <c r="AR7" s="36">
        <v>1093182</v>
      </c>
      <c r="AS7" s="36">
        <v>313564</v>
      </c>
      <c r="AT7" s="47">
        <f>(AS7/AK7)*100</f>
        <v>0.8220139640973545</v>
      </c>
      <c r="AU7" s="36">
        <f>AZ7-BC7</f>
        <v>38848326</v>
      </c>
      <c r="AV7" s="36">
        <v>1571402</v>
      </c>
      <c r="AW7" s="36">
        <v>1182464</v>
      </c>
      <c r="AX7" s="36">
        <v>388938</v>
      </c>
      <c r="AY7" s="47">
        <f>(AX7/AP7)*100</f>
        <v>1.0112953435452483</v>
      </c>
      <c r="AZ7" s="36">
        <f>BE7-BH7</f>
        <v>39257274</v>
      </c>
      <c r="BA7" s="36">
        <v>1552837</v>
      </c>
      <c r="BB7" s="36">
        <v>1143889</v>
      </c>
      <c r="BC7" s="36">
        <v>408948</v>
      </c>
      <c r="BD7" s="47">
        <f>(BC7/AU7)*100</f>
        <v>1.0526785632925342</v>
      </c>
      <c r="BE7" s="36">
        <f>BJ7-BM7</f>
        <v>39175156</v>
      </c>
      <c r="BF7" s="36">
        <v>1256247</v>
      </c>
      <c r="BG7" s="36">
        <v>1338365</v>
      </c>
      <c r="BH7" s="36">
        <v>-82118</v>
      </c>
      <c r="BI7" s="47">
        <f>(BH7/AZ7)*100</f>
        <v>-0.20917906831737731</v>
      </c>
      <c r="BJ7" s="36">
        <f>BO7-BR7</f>
        <v>39432215</v>
      </c>
      <c r="BK7" s="36">
        <v>1550075</v>
      </c>
      <c r="BL7" s="36">
        <v>1293016</v>
      </c>
      <c r="BM7" s="36">
        <v>257059</v>
      </c>
      <c r="BN7" s="47">
        <f>(BM7/BE7)*100</f>
        <v>0.65617862504491364</v>
      </c>
      <c r="BO7" s="36">
        <f>BT7-BW7</f>
        <v>39830130</v>
      </c>
      <c r="BP7" s="36">
        <v>1715425</v>
      </c>
      <c r="BQ7" s="36">
        <v>1317510</v>
      </c>
      <c r="BR7" s="36">
        <v>397915</v>
      </c>
      <c r="BS7" s="47">
        <f>(BR7/BJ7)*100</f>
        <v>1.0091114587400176</v>
      </c>
      <c r="BT7" s="36">
        <f>BY7-CB7</f>
        <v>40006460</v>
      </c>
      <c r="BU7" s="36">
        <v>1626885</v>
      </c>
      <c r="BV7" s="36">
        <v>1450555</v>
      </c>
      <c r="BW7" s="36">
        <v>176330</v>
      </c>
      <c r="BX7" s="47">
        <f>(BW7/BO7)*100</f>
        <v>0.44270505770380364</v>
      </c>
      <c r="BY7" s="36">
        <f>CD7-CG7</f>
        <v>40120382</v>
      </c>
      <c r="BZ7" s="36">
        <v>1396311</v>
      </c>
      <c r="CA7" s="36">
        <v>1282389</v>
      </c>
      <c r="CB7" s="36">
        <v>113922</v>
      </c>
      <c r="CC7" s="47">
        <f>(CB7/BT7)*100</f>
        <v>0.28475901141965571</v>
      </c>
      <c r="CD7" s="36">
        <f>CI7-CL7</f>
        <v>40399087</v>
      </c>
      <c r="CE7" s="36">
        <v>1558316</v>
      </c>
      <c r="CF7" s="36">
        <v>1279611</v>
      </c>
      <c r="CG7" s="36">
        <v>278705</v>
      </c>
      <c r="CH7" s="47">
        <f>(CG7/BY7)*100</f>
        <v>0.69467185033283085</v>
      </c>
      <c r="CI7" s="36">
        <f>CN7-CQ7</f>
        <v>40709123</v>
      </c>
      <c r="CJ7" s="36">
        <v>1609748</v>
      </c>
      <c r="CK7" s="36">
        <v>1299712</v>
      </c>
      <c r="CL7" s="36">
        <v>310036</v>
      </c>
      <c r="CM7" s="47">
        <f>(CL7/CD7)*100</f>
        <v>0.76743318481430045</v>
      </c>
      <c r="CN7" s="36">
        <f>CS7-CV7</f>
        <v>41025848</v>
      </c>
      <c r="CO7" s="36">
        <v>1666051</v>
      </c>
      <c r="CP7" s="36">
        <v>1349326</v>
      </c>
      <c r="CQ7" s="36">
        <v>316725</v>
      </c>
      <c r="CR7" s="47">
        <f>(CQ7/CI7)*100</f>
        <v>0.77801970826048006</v>
      </c>
      <c r="CS7" s="36">
        <f>CX7-DA7</f>
        <v>41399192</v>
      </c>
      <c r="CT7" s="36">
        <v>1819411</v>
      </c>
      <c r="CU7" s="36">
        <v>1446067</v>
      </c>
      <c r="CV7" s="36">
        <v>373344</v>
      </c>
      <c r="CW7" s="47">
        <f>(CV7/CN7)*100</f>
        <v>0.91002140894199179</v>
      </c>
      <c r="CX7" s="36">
        <f>DC7-DF7</f>
        <v>41716185</v>
      </c>
      <c r="CY7" s="36">
        <v>1789967</v>
      </c>
      <c r="CZ7" s="36">
        <v>1472974</v>
      </c>
      <c r="DA7" s="36">
        <v>316993</v>
      </c>
      <c r="DB7" s="47">
        <f>(DA7/CS7)*100</f>
        <v>0.76569851894693985</v>
      </c>
      <c r="DC7" s="36">
        <f>DH7-DK7</f>
        <v>41969268</v>
      </c>
      <c r="DD7" s="36">
        <f>DE7+DF7</f>
        <v>1760739</v>
      </c>
      <c r="DE7" s="36">
        <v>1507656</v>
      </c>
      <c r="DF7" s="36">
        <v>253083</v>
      </c>
      <c r="DG7" s="47">
        <f>(DF7/CX7)*100</f>
        <v>0.60667819936075174</v>
      </c>
      <c r="DH7" s="36">
        <f>DM7-DP7</f>
        <v>42293380</v>
      </c>
      <c r="DI7" s="36">
        <v>1772766</v>
      </c>
      <c r="DJ7" s="36">
        <v>1448654</v>
      </c>
      <c r="DK7" s="36">
        <v>324112</v>
      </c>
      <c r="DL7" s="47">
        <f>(DK7/DC7)*100</f>
        <v>0.77226031199781708</v>
      </c>
      <c r="DM7" s="36">
        <f>DR7-DU7</f>
        <v>42027569</v>
      </c>
      <c r="DN7" s="36">
        <v>1437910</v>
      </c>
      <c r="DO7" s="36">
        <v>1703721</v>
      </c>
      <c r="DP7" s="36">
        <v>-265811</v>
      </c>
      <c r="DQ7" s="47">
        <f>(DP7/DH7)*100</f>
        <v>-0.62849315897665303</v>
      </c>
      <c r="DR7" s="36">
        <f>DW7-DZ7</f>
        <v>42182747</v>
      </c>
      <c r="DS7" s="36">
        <v>1777646</v>
      </c>
      <c r="DT7" s="36">
        <v>1622468</v>
      </c>
      <c r="DU7" s="36">
        <v>155178</v>
      </c>
      <c r="DV7" s="47">
        <f>(DU7/DM7)*100</f>
        <v>0.3692290648550241</v>
      </c>
      <c r="DW7" s="36">
        <f>EB7-EE7</f>
        <v>42511254</v>
      </c>
      <c r="DX7" s="36">
        <v>2013143</v>
      </c>
      <c r="DY7" s="36">
        <v>1684636</v>
      </c>
      <c r="DZ7" s="36">
        <v>328507</v>
      </c>
      <c r="EA7" s="47">
        <f>(DZ7/DR7)*100</f>
        <v>0.77877099848428555</v>
      </c>
      <c r="EB7" s="36">
        <f>EG7-EJ7</f>
        <v>42647443</v>
      </c>
      <c r="EC7" s="36">
        <v>1953071</v>
      </c>
      <c r="ED7" s="36">
        <v>1816882</v>
      </c>
      <c r="EE7" s="36">
        <v>136189</v>
      </c>
      <c r="EF7" s="47">
        <f>(EE7/DW7)*100</f>
        <v>0.32035987458756215</v>
      </c>
      <c r="EG7" s="36">
        <f>EL7-EO7</f>
        <v>42844409</v>
      </c>
      <c r="EH7" s="36">
        <v>1854557</v>
      </c>
      <c r="EI7" s="36">
        <v>1657591</v>
      </c>
      <c r="EJ7" s="36">
        <v>196966</v>
      </c>
      <c r="EK7" s="47">
        <f>(EJ7/EB7)*100</f>
        <v>0.46184714989829523</v>
      </c>
      <c r="EL7" s="36">
        <f>EQ7-ET7</f>
        <v>43121427</v>
      </c>
      <c r="EM7" s="36">
        <v>1960960</v>
      </c>
      <c r="EN7" s="36">
        <v>1683942</v>
      </c>
      <c r="EO7" s="36">
        <v>277018</v>
      </c>
      <c r="EP7" s="47">
        <f>(EO7/EG7)*100</f>
        <v>0.64656744360740281</v>
      </c>
      <c r="EQ7" s="36">
        <f>EV7-EY7</f>
        <v>43399371</v>
      </c>
      <c r="ER7" s="36">
        <v>1898876</v>
      </c>
      <c r="ES7" s="36">
        <v>1620932</v>
      </c>
      <c r="ET7" s="36">
        <v>277944</v>
      </c>
      <c r="EU7" s="47">
        <f>(ET7/EL7)*100</f>
        <v>0.64456122938603122</v>
      </c>
      <c r="EV7" s="36">
        <f>FA7-FD7</f>
        <v>43618273</v>
      </c>
      <c r="EW7" s="36">
        <v>1886537</v>
      </c>
      <c r="EX7" s="36">
        <v>1667635</v>
      </c>
      <c r="EY7" s="36">
        <v>218902</v>
      </c>
      <c r="EZ7" s="47">
        <f>(EY7/EQ7)*100</f>
        <v>0.50438979864477762</v>
      </c>
      <c r="FA7" s="36">
        <f>FF7-FI7</f>
        <v>43896912</v>
      </c>
      <c r="FB7" s="36">
        <v>2051800</v>
      </c>
      <c r="FC7" s="36">
        <v>1773161</v>
      </c>
      <c r="FD7" s="36">
        <v>278639</v>
      </c>
      <c r="FE7" s="47">
        <f>(FD7/EV7)*100</f>
        <v>0.63881254537519172</v>
      </c>
      <c r="FF7" s="36">
        <f>FK7-FN7</f>
        <v>44174997</v>
      </c>
      <c r="FG7" s="36">
        <v>1926572</v>
      </c>
      <c r="FH7" s="36">
        <v>1648487</v>
      </c>
      <c r="FI7" s="36">
        <v>278085</v>
      </c>
      <c r="FJ7" s="47">
        <f>(FI7/FA7)*100</f>
        <v>0.63349558620433255</v>
      </c>
      <c r="FK7" s="36">
        <f>FP7-FS7</f>
        <v>44334451</v>
      </c>
      <c r="FL7" s="36">
        <v>1789462</v>
      </c>
      <c r="FM7" s="36">
        <v>1630008</v>
      </c>
      <c r="FN7" s="36">
        <v>159454</v>
      </c>
      <c r="FO7" s="47">
        <f>(FN7/FF7)*100</f>
        <v>0.36095984341549586</v>
      </c>
      <c r="FP7" s="36">
        <f>FU7-FX7</f>
        <v>44469946</v>
      </c>
      <c r="FQ7" s="36">
        <v>1747894</v>
      </c>
      <c r="FR7" s="36">
        <v>1612399</v>
      </c>
      <c r="FS7" s="36">
        <v>135495</v>
      </c>
      <c r="FT7" s="47">
        <f>(FS7/FK7)*100</f>
        <v>0.30562011470492778</v>
      </c>
      <c r="FU7" s="36">
        <f>FZ7-GC7</f>
        <v>44038935</v>
      </c>
      <c r="FV7" s="36">
        <v>1382923</v>
      </c>
      <c r="FW7" s="36">
        <v>1813934</v>
      </c>
      <c r="FX7" s="36">
        <v>-431011</v>
      </c>
      <c r="FY7" s="47">
        <f>(FX7/FP7)*100</f>
        <v>-0.9692186268901698</v>
      </c>
      <c r="FZ7" s="36">
        <f>GE7-GH7</f>
        <v>44122232</v>
      </c>
      <c r="GA7" s="36">
        <v>1874226</v>
      </c>
      <c r="GB7" s="36">
        <v>1790929</v>
      </c>
      <c r="GC7" s="36">
        <v>83297</v>
      </c>
      <c r="GD7" s="47">
        <f>(GC7/FU7)*100</f>
        <v>0.18914399269646281</v>
      </c>
      <c r="GE7" s="36">
        <f>GJ7-GM7</f>
        <v>44364017</v>
      </c>
      <c r="GF7" s="36">
        <v>1949844</v>
      </c>
      <c r="GG7" s="36">
        <v>1708059</v>
      </c>
      <c r="GH7" s="36">
        <v>241785</v>
      </c>
      <c r="GI7" s="47">
        <f>(GH7/FZ7)*100</f>
        <v>0.54798905005530996</v>
      </c>
      <c r="GJ7" s="36">
        <f>GO7-GR7</f>
        <v>44559188</v>
      </c>
      <c r="GK7" s="36">
        <v>2168418</v>
      </c>
      <c r="GL7" s="36">
        <v>1973247</v>
      </c>
      <c r="GM7" s="36">
        <v>195171</v>
      </c>
      <c r="GN7" s="47">
        <f>(GM7/GE7)*100</f>
        <v>0.43993085657685149</v>
      </c>
      <c r="GO7" s="36">
        <f>GT7-GW7</f>
        <v>44739193</v>
      </c>
      <c r="GP7" s="36">
        <v>1865279</v>
      </c>
      <c r="GQ7" s="36">
        <v>1685274</v>
      </c>
      <c r="GR7" s="36">
        <v>180005</v>
      </c>
      <c r="GS7" s="47">
        <f>(GR7/GJ7)*100</f>
        <v>0.40396831288756874</v>
      </c>
      <c r="GT7" s="36">
        <f>GY7-HB7</f>
        <v>44894463</v>
      </c>
      <c r="GU7" s="36">
        <v>2000202</v>
      </c>
      <c r="GV7" s="36">
        <v>1844932</v>
      </c>
      <c r="GW7" s="36">
        <v>155270</v>
      </c>
      <c r="GX7" s="47">
        <f>(GW7/GO7)*100</f>
        <v>0.34705588006471194</v>
      </c>
      <c r="GY7" s="36">
        <f>HD7-HG7</f>
        <v>45051661</v>
      </c>
      <c r="GZ7" s="36">
        <v>1914130</v>
      </c>
      <c r="HA7" s="36">
        <v>1756932</v>
      </c>
      <c r="HB7" s="36">
        <v>157198</v>
      </c>
      <c r="HC7" s="47">
        <f>(HB7/GT7)*100</f>
        <v>0.35015008420971649</v>
      </c>
      <c r="HD7" s="36">
        <f>HI7-HL7</f>
        <v>45194363</v>
      </c>
      <c r="HE7" s="36">
        <v>1883198</v>
      </c>
      <c r="HF7" s="36">
        <v>1740496</v>
      </c>
      <c r="HG7" s="36">
        <v>142702</v>
      </c>
      <c r="HH7" s="47">
        <f>(HG7/GY7)*100</f>
        <v>0.31675191731554581</v>
      </c>
      <c r="HI7" s="36">
        <f>HN7-HQ7</f>
        <v>45415207</v>
      </c>
      <c r="HJ7" s="36">
        <v>2099211</v>
      </c>
      <c r="HK7" s="36">
        <v>1878367</v>
      </c>
      <c r="HL7" s="36">
        <v>220844</v>
      </c>
      <c r="HM7" s="47">
        <f>(HL7/HD7)*100</f>
        <v>0.48865386154463553</v>
      </c>
      <c r="HN7" s="36">
        <f>HS7-HV7</f>
        <v>45626971</v>
      </c>
      <c r="HO7" s="36">
        <v>1917057</v>
      </c>
      <c r="HP7" s="36">
        <v>1705293</v>
      </c>
      <c r="HQ7" s="36">
        <v>211764</v>
      </c>
      <c r="HR7" s="47">
        <f>(HQ7/HI7)*100</f>
        <v>0.46628434392030843</v>
      </c>
      <c r="HS7" s="36">
        <f>HX7-IA7</f>
        <v>45817337</v>
      </c>
      <c r="HT7" s="36">
        <v>1941281</v>
      </c>
      <c r="HU7" s="36">
        <v>1750915</v>
      </c>
      <c r="HV7" s="36">
        <v>190366</v>
      </c>
      <c r="HW7" s="47">
        <f>(HV7/HN7)*100</f>
        <v>0.41722252393217157</v>
      </c>
      <c r="HX7" s="36">
        <f>IC7-IF7</f>
        <v>45947434</v>
      </c>
      <c r="HY7" s="36">
        <v>1866752</v>
      </c>
      <c r="HZ7" s="36">
        <v>1736655</v>
      </c>
      <c r="IA7" s="36">
        <v>130097</v>
      </c>
      <c r="IB7" s="47">
        <f>(IA7/HS7)*100</f>
        <v>0.28394710063572659</v>
      </c>
      <c r="IC7" s="36">
        <v>45517275</v>
      </c>
      <c r="ID7" s="36">
        <v>1502563</v>
      </c>
      <c r="IE7" s="36">
        <v>1932722</v>
      </c>
      <c r="IF7" s="36">
        <v>-430159</v>
      </c>
      <c r="IG7" s="47">
        <f>(IF7/HX7)*100</f>
        <v>-0.9361980910620602</v>
      </c>
      <c r="IH7" s="36">
        <f>IC7+IK7</f>
        <v>45697670</v>
      </c>
      <c r="II7" s="36">
        <v>2067817</v>
      </c>
      <c r="IJ7" s="36">
        <v>1887422</v>
      </c>
      <c r="IK7" s="36">
        <v>180395</v>
      </c>
      <c r="IL7" s="47">
        <f t="shared" ref="IL7:IL10" si="1">(IK7/IC7)*100</f>
        <v>0.39632205574696644</v>
      </c>
      <c r="IM7" s="36" t="e">
        <f>IH7+IP7</f>
        <v>#REF!</v>
      </c>
      <c r="IN7" s="36" t="e">
        <f>SUM(IN8,IN9,#REF!,#REF!,#REF!,#REF!)</f>
        <v>#REF!</v>
      </c>
      <c r="IO7" s="36" t="e">
        <f>SUM(IO8,IO9,#REF!,#REF!,#REF!,#REF!)</f>
        <v>#REF!</v>
      </c>
      <c r="IP7" s="36" t="e">
        <f>SUM(IP8,IP9,#REF!,#REF!,#REF!,#REF!)</f>
        <v>#REF!</v>
      </c>
      <c r="IQ7" s="47" t="e">
        <f>(IP7/IH7)*100</f>
        <v>#REF!</v>
      </c>
      <c r="IR7" s="36" t="e">
        <f>IM7+IU7</f>
        <v>#REF!</v>
      </c>
      <c r="IS7" s="36">
        <v>2262420</v>
      </c>
      <c r="IT7" s="36">
        <v>2018105</v>
      </c>
      <c r="IU7" s="36">
        <v>244315</v>
      </c>
      <c r="IV7" s="47" t="e">
        <f>(IU7/IM7)*100</f>
        <v>#REF!</v>
      </c>
      <c r="IW7" s="36" t="e">
        <f t="shared" ref="IW7:IW10" si="2">IR7+IZ7</f>
        <v>#REF!</v>
      </c>
      <c r="IX7" s="36">
        <v>2260439</v>
      </c>
      <c r="IY7" s="36">
        <v>2020406</v>
      </c>
      <c r="IZ7" s="36">
        <v>240033</v>
      </c>
      <c r="JA7" s="47" t="e">
        <f>(IZ7/IR7)*100</f>
        <v>#REF!</v>
      </c>
      <c r="JB7" s="36" t="e">
        <f t="shared" ref="JB7:JB10" si="3">IW7+JE7</f>
        <v>#REF!</v>
      </c>
      <c r="JC7" s="36">
        <v>2116326</v>
      </c>
      <c r="JD7" s="36">
        <v>1984515</v>
      </c>
      <c r="JE7" s="36">
        <v>131811</v>
      </c>
      <c r="JF7" s="47" t="e">
        <f>(JE7/IW7)*100</f>
        <v>#REF!</v>
      </c>
      <c r="JG7" s="36" t="e">
        <f t="shared" ref="JG7:JG10" si="4">JB7+JJ7</f>
        <v>#REF!</v>
      </c>
      <c r="JH7" s="36">
        <v>2071649</v>
      </c>
      <c r="JI7" s="36">
        <v>1869944</v>
      </c>
      <c r="JJ7" s="36">
        <v>201705</v>
      </c>
      <c r="JK7" s="47" t="e">
        <f>(JJ7/JB7)*100</f>
        <v>#REF!</v>
      </c>
      <c r="JL7" s="36" t="e">
        <f t="shared" ref="JL7:JL10" si="5">JG7+JO7</f>
        <v>#REF!</v>
      </c>
      <c r="JM7" s="36">
        <v>2187633</v>
      </c>
      <c r="JN7" s="36">
        <v>1999612</v>
      </c>
      <c r="JO7" s="36">
        <v>188021</v>
      </c>
      <c r="JP7" s="47" t="e">
        <f>(JO7/JG7)*100</f>
        <v>#REF!</v>
      </c>
      <c r="JQ7" s="36" t="e">
        <f>JL7+JT7</f>
        <v>#REF!</v>
      </c>
      <c r="JR7" s="36">
        <v>2231410</v>
      </c>
      <c r="JS7" s="36">
        <v>1998897</v>
      </c>
      <c r="JT7" s="36">
        <v>232513</v>
      </c>
      <c r="JU7" s="47" t="e">
        <f>(JT7/JL7)*100</f>
        <v>#REF!</v>
      </c>
      <c r="JV7" s="36" t="e">
        <f>JQ7+JY7</f>
        <v>#REF!</v>
      </c>
      <c r="JW7" s="36">
        <v>2163929</v>
      </c>
      <c r="JX7" s="36">
        <v>1916111</v>
      </c>
      <c r="JY7" s="36">
        <v>247818</v>
      </c>
      <c r="JZ7" s="47" t="e">
        <f>(JY7/JQ7)*100</f>
        <v>#REF!</v>
      </c>
      <c r="KA7" s="36" t="e">
        <f>JV7+KD7</f>
        <v>#REF!</v>
      </c>
      <c r="KB7" s="36">
        <v>2222962</v>
      </c>
      <c r="KC7" s="36">
        <v>2090248</v>
      </c>
      <c r="KD7" s="36">
        <v>132714</v>
      </c>
      <c r="KE7" s="47" t="e">
        <f>(KD7/JV7)*100</f>
        <v>#REF!</v>
      </c>
      <c r="KF7" s="36" t="e">
        <f>KA7+KI7</f>
        <v>#REF!</v>
      </c>
      <c r="KG7" s="36">
        <v>1978371</v>
      </c>
      <c r="KH7" s="36">
        <v>1871746</v>
      </c>
      <c r="KI7" s="36">
        <v>106625</v>
      </c>
      <c r="KJ7" s="47" t="e">
        <f>(KI7/KA7)*100</f>
        <v>#REF!</v>
      </c>
      <c r="KK7" s="36" t="e">
        <f>KF7+KN7</f>
        <v>#REF!</v>
      </c>
      <c r="KL7" s="36">
        <v>1524251</v>
      </c>
      <c r="KM7" s="36">
        <v>2059798</v>
      </c>
      <c r="KN7" s="36">
        <v>-535547</v>
      </c>
      <c r="KO7" s="47" t="e">
        <f>(KN7/KF7)*100</f>
        <v>#REF!</v>
      </c>
      <c r="KP7" s="36" t="e">
        <f>KK7+KS7</f>
        <v>#REF!</v>
      </c>
      <c r="KQ7" s="36">
        <v>2271611</v>
      </c>
      <c r="KR7" s="36">
        <v>2134308</v>
      </c>
      <c r="KS7" s="36">
        <v>137303</v>
      </c>
      <c r="KT7" s="47" t="e">
        <f>(KS7/KK7)*100</f>
        <v>#REF!</v>
      </c>
      <c r="KU7" s="36" t="e">
        <f>KP7+KX7</f>
        <v>#REF!</v>
      </c>
      <c r="KV7" s="36">
        <v>2579192</v>
      </c>
      <c r="KW7" s="36">
        <v>2147197</v>
      </c>
      <c r="KX7" s="36">
        <v>431995</v>
      </c>
      <c r="KY7" s="47" t="e">
        <f>(KX7/KP7)*100</f>
        <v>#REF!</v>
      </c>
      <c r="KZ7" s="36" t="e">
        <f>KU7+LC7</f>
        <v>#REF!</v>
      </c>
      <c r="LA7" s="36">
        <v>2234662</v>
      </c>
      <c r="LB7" s="36">
        <v>2163086</v>
      </c>
      <c r="LC7" s="36">
        <v>71576</v>
      </c>
      <c r="LD7" s="47" t="e">
        <f>(LC7/KU7)*100</f>
        <v>#REF!</v>
      </c>
      <c r="LE7" s="36" t="e">
        <f>KZ7+LH7</f>
        <v>#REF!</v>
      </c>
      <c r="LF7" s="36">
        <v>2282187</v>
      </c>
      <c r="LG7" s="36">
        <v>2024659</v>
      </c>
      <c r="LH7" s="36">
        <v>257528</v>
      </c>
      <c r="LI7" s="47" t="e">
        <f>(LH7/KZ7)*100</f>
        <v>#REF!</v>
      </c>
      <c r="LJ7" s="36" t="e">
        <f>LE7+LM7</f>
        <v>#REF!</v>
      </c>
      <c r="LK7" s="36">
        <v>2256225</v>
      </c>
      <c r="LL7" s="36">
        <v>2107233</v>
      </c>
      <c r="LM7" s="36">
        <v>148992</v>
      </c>
      <c r="LN7" s="47" t="e">
        <f>(LM7/LE7)*100</f>
        <v>#REF!</v>
      </c>
      <c r="LO7" s="36" t="e">
        <f>LJ7+LR7</f>
        <v>#REF!</v>
      </c>
      <c r="LP7" s="36">
        <v>2139182</v>
      </c>
      <c r="LQ7" s="36">
        <v>1972561</v>
      </c>
      <c r="LR7" s="36">
        <v>166621</v>
      </c>
      <c r="LS7" s="47" t="e">
        <f>(LR7/LJ7)*100</f>
        <v>#REF!</v>
      </c>
      <c r="LT7" s="36" t="e">
        <f>LO7+LW7</f>
        <v>#REF!</v>
      </c>
      <c r="LU7" s="36">
        <v>2251440</v>
      </c>
      <c r="LV7" s="36">
        <v>2121665</v>
      </c>
      <c r="LW7" s="36">
        <v>129775</v>
      </c>
      <c r="LX7" s="47" t="e">
        <f>(LW7/LO7)*100</f>
        <v>#REF!</v>
      </c>
      <c r="LY7" s="36" t="e">
        <f>LT7+MB7</f>
        <v>#REF!</v>
      </c>
      <c r="LZ7" s="36">
        <v>2239895</v>
      </c>
      <c r="MA7" s="36">
        <v>2092537</v>
      </c>
      <c r="MB7" s="36">
        <v>147358</v>
      </c>
      <c r="MC7" s="47" t="e">
        <f>(MB7/LT7)*100</f>
        <v>#REF!</v>
      </c>
      <c r="MD7" s="36" t="e">
        <f>LY7+MG7</f>
        <v>#REF!</v>
      </c>
      <c r="ME7" s="36">
        <v>2292492</v>
      </c>
      <c r="MF7" s="36">
        <v>2079490</v>
      </c>
      <c r="MG7" s="36">
        <v>213002</v>
      </c>
      <c r="MH7" s="47" t="e">
        <f>(MG7/LY7)*100</f>
        <v>#REF!</v>
      </c>
      <c r="MI7" s="36" t="e">
        <f>MD7+ML7</f>
        <v>#REF!</v>
      </c>
      <c r="MJ7" s="36">
        <v>2271460</v>
      </c>
      <c r="MK7" s="36">
        <v>2186313</v>
      </c>
      <c r="ML7" s="36">
        <v>85147</v>
      </c>
      <c r="MM7" s="47" t="e">
        <f>(ML7/MD7)*100</f>
        <v>#REF!</v>
      </c>
      <c r="MN7" s="36" t="e">
        <f>MI7+MQ7</f>
        <v>#REF!</v>
      </c>
      <c r="MO7" s="36">
        <v>1979902</v>
      </c>
      <c r="MP7" s="36">
        <v>1894038</v>
      </c>
      <c r="MQ7" s="36">
        <v>85864</v>
      </c>
      <c r="MR7" s="47" t="e">
        <f t="shared" ref="MR7:MR10" si="6">(MQ7/MI7)*100</f>
        <v>#REF!</v>
      </c>
      <c r="MS7" s="36" t="e">
        <f>MN7+MV7</f>
        <v>#REF!</v>
      </c>
      <c r="MT7" s="36">
        <v>1523309</v>
      </c>
      <c r="MU7" s="36">
        <v>2141473</v>
      </c>
      <c r="MV7" s="36">
        <v>-618164</v>
      </c>
      <c r="MW7" s="47" t="e">
        <f t="shared" ref="MW7:MW10" si="7">(MV7/MN7)*100</f>
        <v>#REF!</v>
      </c>
      <c r="MX7" s="36" t="e">
        <f>MS7+NA7</f>
        <v>#REF!</v>
      </c>
      <c r="MY7" s="36">
        <v>2208030</v>
      </c>
      <c r="MZ7" s="36">
        <v>2095696</v>
      </c>
      <c r="NA7" s="36">
        <v>112334</v>
      </c>
      <c r="NB7" s="47">
        <v>0.23178067803382874</v>
      </c>
      <c r="NC7" s="36" t="e">
        <f>MX7+NF7</f>
        <v>#REF!</v>
      </c>
      <c r="ND7" s="36">
        <v>2381767</v>
      </c>
      <c r="NE7" s="36">
        <v>0</v>
      </c>
      <c r="NF7" s="36">
        <v>255321</v>
      </c>
      <c r="NG7" s="47" t="e">
        <f t="shared" ref="NG7:NG10" si="8">(NF7/NC7)*100</f>
        <v>#REF!</v>
      </c>
      <c r="NH7" s="36" t="e">
        <f>NC7+NK7</f>
        <v>#REF!</v>
      </c>
      <c r="NI7" s="36">
        <v>2526660</v>
      </c>
      <c r="NJ7" s="36">
        <v>2298452</v>
      </c>
      <c r="NK7" s="36">
        <v>228208</v>
      </c>
      <c r="NL7" s="47" t="e">
        <f t="shared" ref="NL7:NL10" si="9">(NK7/NH7)*100</f>
        <v>#REF!</v>
      </c>
      <c r="NM7" s="36">
        <f>SUM(ND7,MY7,NI7)</f>
        <v>7116457</v>
      </c>
      <c r="NN7" s="36">
        <f t="shared" ref="NN7:NO10" si="10">SUM(NE7,MZ7,NJ7)</f>
        <v>4394148</v>
      </c>
      <c r="NO7" s="36">
        <f t="shared" si="10"/>
        <v>595863</v>
      </c>
      <c r="NP7" s="47" t="e">
        <f>(NO7/MS7)*100</f>
        <v>#REF!</v>
      </c>
      <c r="NQ7" s="36">
        <f>SUM(MT7,MO7,MJ7,ME7,LZ7,LU7,LP7,LK7,LF7,MY7,ND7,NI7)</f>
        <v>26352549</v>
      </c>
      <c r="NR7" s="36">
        <f t="shared" ref="NR7:NS10" si="11">SUM(MU7,MP7,MK7,MF7,MA7,LV7,LQ7,LL7,LG7,MZ7,NE7,NJ7)</f>
        <v>23014117</v>
      </c>
      <c r="NS7" s="36">
        <f t="shared" si="11"/>
        <v>1211986</v>
      </c>
      <c r="NT7" s="47" t="e">
        <f>NS7/(NH7-NS7)*100</f>
        <v>#REF!</v>
      </c>
      <c r="NU7" s="47"/>
    </row>
    <row r="8" spans="1:385" s="32" customFormat="1" ht="31.5" customHeight="1" thickTop="1">
      <c r="A8" s="31"/>
      <c r="B8" s="53" t="s">
        <v>7</v>
      </c>
      <c r="C8" s="52">
        <f t="shared" ref="C8:C10" si="12">G8-J8</f>
        <v>1491316</v>
      </c>
      <c r="D8" s="52">
        <v>69520</v>
      </c>
      <c r="E8" s="52">
        <v>53425</v>
      </c>
      <c r="F8" s="52">
        <v>16095</v>
      </c>
      <c r="G8" s="52">
        <f t="shared" ref="G8:G10" si="13">L8-O8</f>
        <v>1496258</v>
      </c>
      <c r="H8" s="52">
        <v>70254</v>
      </c>
      <c r="I8" s="52">
        <v>65312</v>
      </c>
      <c r="J8" s="52">
        <v>4942</v>
      </c>
      <c r="K8" s="54">
        <f t="shared" si="0"/>
        <v>0.33138516585351463</v>
      </c>
      <c r="L8" s="52">
        <f t="shared" ref="L8:L10" si="14">Q8-T8</f>
        <v>1491809</v>
      </c>
      <c r="M8" s="52">
        <v>68635</v>
      </c>
      <c r="N8" s="52">
        <v>73084</v>
      </c>
      <c r="O8" s="52">
        <v>-4449</v>
      </c>
      <c r="P8" s="54">
        <f>(O8/G8)*100</f>
        <v>-0.29734176859873096</v>
      </c>
      <c r="Q8" s="52">
        <f t="shared" ref="Q8:Q10" si="15">V8-Y8</f>
        <v>1486368</v>
      </c>
      <c r="R8" s="52">
        <v>52759</v>
      </c>
      <c r="S8" s="52">
        <v>58200</v>
      </c>
      <c r="T8" s="52">
        <v>-5441</v>
      </c>
      <c r="U8" s="54">
        <f>(T8/L8)*100</f>
        <v>-0.3647249748459756</v>
      </c>
      <c r="V8" s="52">
        <f t="shared" ref="V8:V10" si="16">AA8-AD8</f>
        <v>1502148</v>
      </c>
      <c r="W8" s="52">
        <v>69794</v>
      </c>
      <c r="X8" s="52">
        <v>54014</v>
      </c>
      <c r="Y8" s="52">
        <v>15780</v>
      </c>
      <c r="Z8" s="54">
        <f>(Y8/Q8)*100</f>
        <v>1.0616482593812568</v>
      </c>
      <c r="AA8" s="52">
        <f t="shared" ref="AA8:AA10" si="17">AF8-AI8</f>
        <v>1538977</v>
      </c>
      <c r="AB8" s="52">
        <v>84013</v>
      </c>
      <c r="AC8" s="52">
        <v>47184</v>
      </c>
      <c r="AD8" s="52">
        <v>36829</v>
      </c>
      <c r="AE8" s="54">
        <f>(AD8/V8)*100</f>
        <v>2.4517557524291878</v>
      </c>
      <c r="AF8" s="52">
        <f t="shared" ref="AF8:AF10" si="18">AK8-AN8</f>
        <v>1561942</v>
      </c>
      <c r="AG8" s="52">
        <v>73886</v>
      </c>
      <c r="AH8" s="52">
        <v>50921</v>
      </c>
      <c r="AI8" s="52">
        <v>22965</v>
      </c>
      <c r="AJ8" s="54">
        <f>(AI8/AA8)*100</f>
        <v>1.4922250300036972</v>
      </c>
      <c r="AK8" s="52">
        <f t="shared" ref="AK8:AK10" si="19">AP8-AS8</f>
        <v>1572626</v>
      </c>
      <c r="AL8" s="52">
        <v>66190</v>
      </c>
      <c r="AM8" s="52">
        <v>55506</v>
      </c>
      <c r="AN8" s="52">
        <v>10684</v>
      </c>
      <c r="AO8" s="54">
        <f>(AN8/AF8)*100</f>
        <v>0.684020277321437</v>
      </c>
      <c r="AP8" s="52">
        <f t="shared" ref="AP8:AP10" si="20">AU8-AX8</f>
        <v>1580546</v>
      </c>
      <c r="AQ8" s="52">
        <v>68302</v>
      </c>
      <c r="AR8" s="52">
        <v>60382</v>
      </c>
      <c r="AS8" s="52">
        <v>7920</v>
      </c>
      <c r="AT8" s="54">
        <f>(AS8/AK8)*100</f>
        <v>0.50361624442175057</v>
      </c>
      <c r="AU8" s="52">
        <f t="shared" ref="AU8:AU10" si="21">AZ8-BC8</f>
        <v>1580249</v>
      </c>
      <c r="AV8" s="52">
        <v>65023</v>
      </c>
      <c r="AW8" s="52">
        <v>65320</v>
      </c>
      <c r="AX8" s="52">
        <v>-297</v>
      </c>
      <c r="AY8" s="54">
        <f>(AX8/AP8)*100</f>
        <v>-1.8790974764416855E-2</v>
      </c>
      <c r="AZ8" s="52">
        <f t="shared" ref="AZ8:AZ10" si="22">BE8-BH8</f>
        <v>1563928</v>
      </c>
      <c r="BA8" s="52">
        <v>55550</v>
      </c>
      <c r="BB8" s="52">
        <v>71871</v>
      </c>
      <c r="BC8" s="52">
        <v>-16321</v>
      </c>
      <c r="BD8" s="54">
        <f>(BC8/AU8)*100</f>
        <v>-1.0328119176155151</v>
      </c>
      <c r="BE8" s="52">
        <f t="shared" ref="BE8:BE10" si="23">BJ8-BM8</f>
        <v>1540160</v>
      </c>
      <c r="BF8" s="52">
        <v>45905</v>
      </c>
      <c r="BG8" s="52">
        <v>69673</v>
      </c>
      <c r="BH8" s="52">
        <v>-23768</v>
      </c>
      <c r="BI8" s="54">
        <f>(BH8/AZ8)*100</f>
        <v>-1.5197630581458992</v>
      </c>
      <c r="BJ8" s="52">
        <f t="shared" ref="BJ8:BJ10" si="24">BO8-BR8</f>
        <v>1573043</v>
      </c>
      <c r="BK8" s="52">
        <v>88199</v>
      </c>
      <c r="BL8" s="52">
        <v>55316</v>
      </c>
      <c r="BM8" s="52">
        <v>32883</v>
      </c>
      <c r="BN8" s="54">
        <f t="shared" ref="BN8:BN10" si="25">(BM8/BE8)*100</f>
        <v>2.1350379181383752</v>
      </c>
      <c r="BO8" s="52">
        <f t="shared" ref="BO8:BO10" si="26">BT8-BW8</f>
        <v>1595918</v>
      </c>
      <c r="BP8" s="52">
        <v>87523</v>
      </c>
      <c r="BQ8" s="52">
        <v>64648</v>
      </c>
      <c r="BR8" s="52">
        <v>22875</v>
      </c>
      <c r="BS8" s="54">
        <f t="shared" ref="BS8:BS10" si="27">(BR8/BJ8)*100</f>
        <v>1.4541878384761255</v>
      </c>
      <c r="BT8" s="52">
        <f t="shared" ref="BT8:BT10" si="28">BY8-CB8</f>
        <v>1599328</v>
      </c>
      <c r="BU8" s="52">
        <v>89350</v>
      </c>
      <c r="BV8" s="52">
        <v>85940</v>
      </c>
      <c r="BW8" s="52">
        <v>3410</v>
      </c>
      <c r="BX8" s="54">
        <f t="shared" ref="BX8:BX10" si="29">(BW8/BO8)*100</f>
        <v>0.21367012590872464</v>
      </c>
      <c r="BY8" s="52">
        <f t="shared" ref="BY8:BY10" si="30">CD8-CG8</f>
        <v>1610454</v>
      </c>
      <c r="BZ8" s="52">
        <v>85399</v>
      </c>
      <c r="CA8" s="52">
        <v>74273</v>
      </c>
      <c r="CB8" s="52">
        <v>11126</v>
      </c>
      <c r="CC8" s="54">
        <f t="shared" ref="CC8:CC10" si="31">(CB8/BT8)*100</f>
        <v>0.69566718021569063</v>
      </c>
      <c r="CD8" s="52">
        <f t="shared" ref="CD8:CD10" si="32">CI8-CL8</f>
        <v>1652734</v>
      </c>
      <c r="CE8" s="52">
        <v>105783</v>
      </c>
      <c r="CF8" s="52">
        <v>63503</v>
      </c>
      <c r="CG8" s="52">
        <v>42280</v>
      </c>
      <c r="CH8" s="54">
        <f t="shared" ref="CH8:CH10" si="33">(CG8/BY8)*100</f>
        <v>2.6253466413818711</v>
      </c>
      <c r="CI8" s="52">
        <f t="shared" ref="CI8:CI10" si="34">CN8-CQ8</f>
        <v>1691115</v>
      </c>
      <c r="CJ8" s="52">
        <v>104436</v>
      </c>
      <c r="CK8" s="52">
        <v>66055</v>
      </c>
      <c r="CL8" s="52">
        <v>38381</v>
      </c>
      <c r="CM8" s="54">
        <f t="shared" ref="CM8:CM10" si="35">(CL8/CD8)*100</f>
        <v>2.3222732756753355</v>
      </c>
      <c r="CN8" s="52">
        <f t="shared" ref="CN8:CN10" si="36">CS8-CV8</f>
        <v>1716635</v>
      </c>
      <c r="CO8" s="52">
        <v>93045</v>
      </c>
      <c r="CP8" s="52">
        <v>67525</v>
      </c>
      <c r="CQ8" s="52">
        <v>25520</v>
      </c>
      <c r="CR8" s="54">
        <f t="shared" ref="CR8:CR10" si="37">(CQ8/CI8)*100</f>
        <v>1.5090635468315283</v>
      </c>
      <c r="CS8" s="52">
        <f>CX8-DA8</f>
        <v>1725745</v>
      </c>
      <c r="CT8" s="52">
        <v>84941</v>
      </c>
      <c r="CU8" s="52">
        <v>75831</v>
      </c>
      <c r="CV8" s="52">
        <v>9110</v>
      </c>
      <c r="CW8" s="54">
        <f t="shared" ref="CW8:CW10" si="38">(CV8/CN8)*100</f>
        <v>0.53068940106662166</v>
      </c>
      <c r="CX8" s="52">
        <f t="shared" ref="CX8:CX10" si="39">DC8-DF8</f>
        <v>1734631</v>
      </c>
      <c r="CY8" s="52">
        <v>90004</v>
      </c>
      <c r="CZ8" s="52">
        <v>81118</v>
      </c>
      <c r="DA8" s="52">
        <v>8886</v>
      </c>
      <c r="DB8" s="54">
        <f t="shared" ref="DB8:DB10" si="40">(DA8/CS8)*100</f>
        <v>0.51490805420267771</v>
      </c>
      <c r="DC8" s="52">
        <f t="shared" ref="DC8:DC10" si="41">DH8-DK8</f>
        <v>1728787</v>
      </c>
      <c r="DD8" s="52">
        <v>83540</v>
      </c>
      <c r="DE8" s="52">
        <v>89384</v>
      </c>
      <c r="DF8" s="52">
        <v>-5844</v>
      </c>
      <c r="DG8" s="54">
        <f t="shared" ref="DG8:DG10" si="42">(DF8/CX8)*100</f>
        <v>-0.33690162345766911</v>
      </c>
      <c r="DH8" s="52">
        <f t="shared" ref="DH8:DH10" si="43">DM8-DP8</f>
        <v>1711990</v>
      </c>
      <c r="DI8" s="52">
        <v>73989</v>
      </c>
      <c r="DJ8" s="52">
        <v>90786</v>
      </c>
      <c r="DK8" s="52">
        <v>-16797</v>
      </c>
      <c r="DL8" s="54">
        <f t="shared" ref="DL8:DL10" si="44">(DK8/DC8)*100</f>
        <v>-0.97160610300748451</v>
      </c>
      <c r="DM8" s="52">
        <f t="shared" ref="DM8:DM10" si="45">DR8-DU8</f>
        <v>1685917</v>
      </c>
      <c r="DN8" s="52">
        <v>63456</v>
      </c>
      <c r="DO8" s="52">
        <v>89529</v>
      </c>
      <c r="DP8" s="52">
        <v>-26073</v>
      </c>
      <c r="DQ8" s="54">
        <f t="shared" ref="DQ8:DQ10" si="46">(DP8/DH8)*100</f>
        <v>-1.5229645032973325</v>
      </c>
      <c r="DR8" s="52">
        <f t="shared" ref="DR8:DR10" si="47">DW8-DZ8</f>
        <v>1710931</v>
      </c>
      <c r="DS8" s="52">
        <v>106242</v>
      </c>
      <c r="DT8" s="52">
        <v>81228</v>
      </c>
      <c r="DU8" s="52">
        <v>25014</v>
      </c>
      <c r="DV8" s="54">
        <f t="shared" ref="DV8:DV10" si="48">(DU8/DM8)*100</f>
        <v>1.483702934367469</v>
      </c>
      <c r="DW8" s="52">
        <f t="shared" ref="DW8:DW10" si="49">EB8-EE8</f>
        <v>1728346</v>
      </c>
      <c r="DX8" s="52">
        <v>104570</v>
      </c>
      <c r="DY8" s="52">
        <v>87155</v>
      </c>
      <c r="DZ8" s="52">
        <v>17415</v>
      </c>
      <c r="EA8" s="54">
        <f t="shared" ref="EA8:EA10" si="50">(DZ8/DR8)*100</f>
        <v>1.0178668806632178</v>
      </c>
      <c r="EB8" s="52">
        <f t="shared" ref="EB8:EB10" si="51">EG8-EJ8</f>
        <v>1712351</v>
      </c>
      <c r="EC8" s="52">
        <v>98510</v>
      </c>
      <c r="ED8" s="52">
        <v>114505</v>
      </c>
      <c r="EE8" s="52">
        <v>-15995</v>
      </c>
      <c r="EF8" s="54">
        <f t="shared" ref="EF8:EF10" si="52">(EE8/DW8)*100</f>
        <v>-0.92545126959532409</v>
      </c>
      <c r="EG8" s="52">
        <f t="shared" ref="EG8:EG10" si="53">EL8-EO8</f>
        <v>1711330</v>
      </c>
      <c r="EH8" s="52">
        <v>95820</v>
      </c>
      <c r="EI8" s="52">
        <v>96841</v>
      </c>
      <c r="EJ8" s="52">
        <v>-1021</v>
      </c>
      <c r="EK8" s="54">
        <f t="shared" ref="EK8:EK10" si="54">(EJ8/EB8)*100</f>
        <v>-5.9625625820874342E-2</v>
      </c>
      <c r="EL8" s="52">
        <f t="shared" ref="EL8:EL10" si="55">EQ8-ET8</f>
        <v>1738077</v>
      </c>
      <c r="EM8" s="52">
        <v>121088</v>
      </c>
      <c r="EN8" s="52">
        <v>94341</v>
      </c>
      <c r="EO8" s="52">
        <v>26747</v>
      </c>
      <c r="EP8" s="54">
        <f t="shared" ref="EP8:EP10" si="56">(EO8/EG8)*100</f>
        <v>1.5629364295606341</v>
      </c>
      <c r="EQ8" s="52">
        <f t="shared" ref="EQ8:EQ10" si="57">EV8-EY8</f>
        <v>1772537</v>
      </c>
      <c r="ER8" s="52">
        <v>123008</v>
      </c>
      <c r="ES8" s="52">
        <v>88548</v>
      </c>
      <c r="ET8" s="52">
        <v>34460</v>
      </c>
      <c r="EU8" s="54">
        <f t="shared" ref="EU8:EU10" si="58">(ET8/EL8)*100</f>
        <v>1.9826509412413835</v>
      </c>
      <c r="EV8" s="52">
        <f t="shared" ref="EV8:EV10" si="59">FA8-FD8</f>
        <v>1788407</v>
      </c>
      <c r="EW8" s="52">
        <v>103950</v>
      </c>
      <c r="EX8" s="52">
        <v>88080</v>
      </c>
      <c r="EY8" s="52">
        <v>15870</v>
      </c>
      <c r="EZ8" s="54">
        <f t="shared" ref="EZ8:EZ10" si="60">(EY8/EQ8)*100</f>
        <v>0.89532686764789671</v>
      </c>
      <c r="FA8" s="52">
        <f t="shared" ref="FA8:FA10" si="61">FF8-FI8</f>
        <v>1796131</v>
      </c>
      <c r="FB8" s="52">
        <v>103696</v>
      </c>
      <c r="FC8" s="52">
        <v>95972</v>
      </c>
      <c r="FD8" s="52">
        <v>7724</v>
      </c>
      <c r="FE8" s="54">
        <f t="shared" ref="FE8:FE10" si="62">(FD8/EV8)*100</f>
        <v>0.43189274029904823</v>
      </c>
      <c r="FF8" s="52">
        <f t="shared" ref="FF8:FF10" si="63">FK8-FN8</f>
        <v>1805605</v>
      </c>
      <c r="FG8" s="52">
        <v>99961</v>
      </c>
      <c r="FH8" s="52">
        <v>90487</v>
      </c>
      <c r="FI8" s="52">
        <v>9474</v>
      </c>
      <c r="FJ8" s="54">
        <f t="shared" ref="FJ8:FJ10" si="64">(FI8/FA8)*100</f>
        <v>0.52746709454933971</v>
      </c>
      <c r="FK8" s="52">
        <f t="shared" ref="FK8:FK10" si="65">FP8-FS8</f>
        <v>1804170</v>
      </c>
      <c r="FL8" s="52">
        <v>91032</v>
      </c>
      <c r="FM8" s="52">
        <v>92467</v>
      </c>
      <c r="FN8" s="52">
        <v>-1435</v>
      </c>
      <c r="FO8" s="54">
        <f t="shared" ref="FO8:FO10" si="66">(FN8/FF8)*100</f>
        <v>-7.9474746691552134E-2</v>
      </c>
      <c r="FP8" s="52">
        <f t="shared" ref="FP8:FP10" si="67">FU8-FX8</f>
        <v>1785959</v>
      </c>
      <c r="FQ8" s="52">
        <v>80060</v>
      </c>
      <c r="FR8" s="52">
        <v>98271</v>
      </c>
      <c r="FS8" s="52">
        <v>-18211</v>
      </c>
      <c r="FT8" s="54">
        <f t="shared" ref="FT8:FT10" si="68">(FS8/FK8)*100</f>
        <v>-1.0093838163809397</v>
      </c>
      <c r="FU8" s="52">
        <f t="shared" ref="FU8:FU10" si="69">FZ8-GC8</f>
        <v>1749038</v>
      </c>
      <c r="FV8" s="52">
        <v>63391</v>
      </c>
      <c r="FW8" s="52">
        <v>100312</v>
      </c>
      <c r="FX8" s="52">
        <v>-36921</v>
      </c>
      <c r="FY8" s="54">
        <f t="shared" ref="FY8:FY10" si="70">(FX8/FP8)*100</f>
        <v>-2.0672926982086377</v>
      </c>
      <c r="FZ8" s="52">
        <f t="shared" ref="FZ8:FZ10" si="71">GE8-GH8</f>
        <v>1772185</v>
      </c>
      <c r="GA8" s="52">
        <v>111632</v>
      </c>
      <c r="GB8" s="52">
        <v>88485</v>
      </c>
      <c r="GC8" s="52">
        <v>23147</v>
      </c>
      <c r="GD8" s="54">
        <f t="shared" ref="GD8:GD10" si="72">(GC8/FU8)*100</f>
        <v>1.3234132134350425</v>
      </c>
      <c r="GE8" s="52">
        <f t="shared" ref="GE8:GE10" si="73">GJ8-GM8</f>
        <v>1788469</v>
      </c>
      <c r="GF8" s="52">
        <v>104811</v>
      </c>
      <c r="GG8" s="52">
        <v>88527</v>
      </c>
      <c r="GH8" s="52">
        <v>16284</v>
      </c>
      <c r="GI8" s="54">
        <f t="shared" ref="GI8:GI10" si="74">(GH8/FZ8)*100</f>
        <v>0.91886569404435769</v>
      </c>
      <c r="GJ8" s="52">
        <f t="shared" ref="GJ8:GJ10" si="75">GO8-GR8</f>
        <v>1788137</v>
      </c>
      <c r="GK8" s="52">
        <v>117601</v>
      </c>
      <c r="GL8" s="52">
        <v>117933</v>
      </c>
      <c r="GM8" s="52">
        <v>-332</v>
      </c>
      <c r="GN8" s="54">
        <f t="shared" ref="GN8:GN10" si="76">(GM8/GE8)*100</f>
        <v>-1.8563363413064471E-2</v>
      </c>
      <c r="GO8" s="52">
        <f t="shared" ref="GO8:GO10" si="77">GT8-GW8</f>
        <v>1791039</v>
      </c>
      <c r="GP8" s="52">
        <v>103483</v>
      </c>
      <c r="GQ8" s="52">
        <v>100581</v>
      </c>
      <c r="GR8" s="52">
        <v>2902</v>
      </c>
      <c r="GS8" s="54">
        <f t="shared" ref="GS8:GS10" si="78">(GR8/GJ8)*100</f>
        <v>0.16229181544814519</v>
      </c>
      <c r="GT8" s="52">
        <f t="shared" ref="GT8:GT10" si="79">GY8-HB8</f>
        <v>1810598</v>
      </c>
      <c r="GU8" s="52">
        <v>128396</v>
      </c>
      <c r="GV8" s="52">
        <v>108837</v>
      </c>
      <c r="GW8" s="52">
        <v>19559</v>
      </c>
      <c r="GX8" s="54">
        <f t="shared" ref="GX8:GX10" si="80">(GW8/GO8)*100</f>
        <v>1.0920476885204622</v>
      </c>
      <c r="GY8" s="52">
        <f t="shared" ref="GY8:GY10" si="81">HD8-HG8</f>
        <v>1837757</v>
      </c>
      <c r="GZ8" s="52">
        <v>125832</v>
      </c>
      <c r="HA8" s="52">
        <v>98673</v>
      </c>
      <c r="HB8" s="52">
        <v>27159</v>
      </c>
      <c r="HC8" s="54">
        <f t="shared" ref="HC8:HC10" si="82">(HB8/GT8)*100</f>
        <v>1.5000016569111421</v>
      </c>
      <c r="HD8" s="52">
        <f t="shared" ref="HD8:HD10" si="83">HI8-HL8</f>
        <v>1850735</v>
      </c>
      <c r="HE8" s="52">
        <v>104362</v>
      </c>
      <c r="HF8" s="52">
        <v>91384</v>
      </c>
      <c r="HG8" s="52">
        <v>12978</v>
      </c>
      <c r="HH8" s="54">
        <f t="shared" ref="HH8:HH10" si="84">(HG8/GY8)*100</f>
        <v>0.70618694419338357</v>
      </c>
      <c r="HI8" s="52">
        <f t="shared" ref="HI8:HI10" si="85">HN8-HQ8</f>
        <v>1855861</v>
      </c>
      <c r="HJ8" s="52">
        <v>105218</v>
      </c>
      <c r="HK8" s="52">
        <v>100092</v>
      </c>
      <c r="HL8" s="52">
        <v>5126</v>
      </c>
      <c r="HM8" s="54">
        <f t="shared" ref="HM8:HM10" si="86">(HL8/HD8)*100</f>
        <v>0.2769710412349688</v>
      </c>
      <c r="HN8" s="52">
        <f t="shared" ref="HN8:HN10" si="87">HS8-HV8</f>
        <v>1861803</v>
      </c>
      <c r="HO8" s="52">
        <v>97457</v>
      </c>
      <c r="HP8" s="52">
        <v>91515</v>
      </c>
      <c r="HQ8" s="52">
        <v>5942</v>
      </c>
      <c r="HR8" s="54">
        <f t="shared" ref="HR8:HR10" si="88">(HQ8/HI8)*100</f>
        <v>0.32017484068041729</v>
      </c>
      <c r="HS8" s="52">
        <f t="shared" ref="HS8:HS10" si="89">HX8-IA8</f>
        <v>1860147</v>
      </c>
      <c r="HT8" s="52">
        <v>94611</v>
      </c>
      <c r="HU8" s="52">
        <v>96267</v>
      </c>
      <c r="HV8" s="52">
        <v>-1656</v>
      </c>
      <c r="HW8" s="54">
        <f t="shared" ref="HW8:HW10" si="90">(HV8/HN8)*100</f>
        <v>-8.8946037792398014E-2</v>
      </c>
      <c r="HX8" s="52">
        <f t="shared" ref="HX8:HX10" si="91">IC8-IF8</f>
        <v>1839130</v>
      </c>
      <c r="HY8" s="52">
        <v>81983</v>
      </c>
      <c r="HZ8" s="52">
        <v>103000</v>
      </c>
      <c r="IA8" s="52">
        <v>-21017</v>
      </c>
      <c r="IB8" s="54">
        <f t="shared" ref="IB8:IB10" si="92">(IA8/HS8)*100</f>
        <v>-1.12985694141377</v>
      </c>
      <c r="IC8" s="52">
        <v>1785470</v>
      </c>
      <c r="ID8" s="52">
        <v>62078</v>
      </c>
      <c r="IE8" s="52">
        <v>115738</v>
      </c>
      <c r="IF8" s="52">
        <v>-53660</v>
      </c>
      <c r="IG8" s="54">
        <f t="shared" ref="IG8:IG10" si="93">(IF8/HX8)*100</f>
        <v>-2.9176839048898122</v>
      </c>
      <c r="IH8" s="52">
        <f t="shared" ref="IH8:IH10" si="94">IC8+IK8</f>
        <v>1807370</v>
      </c>
      <c r="II8" s="52">
        <v>113538</v>
      </c>
      <c r="IJ8" s="52">
        <v>91638</v>
      </c>
      <c r="IK8" s="52">
        <v>21900</v>
      </c>
      <c r="IL8" s="54">
        <f t="shared" si="1"/>
        <v>1.2265677944742841</v>
      </c>
      <c r="IM8" s="52">
        <f t="shared" ref="IM8:IM10" si="95">IH8+IP8</f>
        <v>1811129</v>
      </c>
      <c r="IN8" s="52">
        <v>113369</v>
      </c>
      <c r="IO8" s="52">
        <v>109610</v>
      </c>
      <c r="IP8" s="52">
        <v>3759</v>
      </c>
      <c r="IQ8" s="54">
        <f t="shared" ref="IQ8:IQ10" si="96">(IP8/IH8)*100</f>
        <v>0.20798176355699163</v>
      </c>
      <c r="IR8" s="52">
        <f t="shared" ref="IR8:IR10" si="97">IM8+IU8</f>
        <v>1804672</v>
      </c>
      <c r="IS8" s="52">
        <v>108429</v>
      </c>
      <c r="IT8" s="52">
        <v>114886</v>
      </c>
      <c r="IU8" s="52">
        <v>-6457</v>
      </c>
      <c r="IV8" s="54">
        <f t="shared" ref="IV8:IV10" si="98">(IU8/IM8)*100</f>
        <v>-0.35651795095766231</v>
      </c>
      <c r="IW8" s="52">
        <f t="shared" si="2"/>
        <v>1811248</v>
      </c>
      <c r="IX8" s="52">
        <v>111381</v>
      </c>
      <c r="IY8" s="52">
        <v>104805</v>
      </c>
      <c r="IZ8" s="52">
        <v>6576</v>
      </c>
      <c r="JA8" s="54">
        <f t="shared" ref="JA8:JA10" si="99">(IZ8/IR8)*100</f>
        <v>0.36438754521597277</v>
      </c>
      <c r="JB8" s="52">
        <f t="shared" si="3"/>
        <v>1831084</v>
      </c>
      <c r="JC8" s="52">
        <v>128126</v>
      </c>
      <c r="JD8" s="52">
        <v>108290</v>
      </c>
      <c r="JE8" s="52">
        <v>19836</v>
      </c>
      <c r="JF8" s="54">
        <f t="shared" ref="JF8:JF10" si="100">(JE8/IW8)*100</f>
        <v>1.0951564887856329</v>
      </c>
      <c r="JG8" s="52">
        <f t="shared" si="4"/>
        <v>1858213</v>
      </c>
      <c r="JH8" s="52">
        <v>116667</v>
      </c>
      <c r="JI8" s="52">
        <v>89538</v>
      </c>
      <c r="JJ8" s="52">
        <v>27129</v>
      </c>
      <c r="JK8" s="54">
        <f t="shared" ref="JK8:JK10" si="101">(JJ8/JB8)*100</f>
        <v>1.4815814020547391</v>
      </c>
      <c r="JL8" s="52">
        <f t="shared" si="5"/>
        <v>1864901</v>
      </c>
      <c r="JM8" s="52">
        <v>103565</v>
      </c>
      <c r="JN8" s="52">
        <v>96877</v>
      </c>
      <c r="JO8" s="52">
        <v>6688</v>
      </c>
      <c r="JP8" s="54">
        <f t="shared" ref="JP8:JP10" si="102">(JO8/JG8)*100</f>
        <v>0.35991568243253058</v>
      </c>
      <c r="JQ8" s="52">
        <f t="shared" ref="JQ8:JQ10" si="103">JL8+JT8</f>
        <v>1866302</v>
      </c>
      <c r="JR8" s="52">
        <v>97221</v>
      </c>
      <c r="JS8" s="52">
        <v>95820</v>
      </c>
      <c r="JT8" s="52">
        <v>1401</v>
      </c>
      <c r="JU8" s="54">
        <f t="shared" ref="JU8:JU10" si="104">(JT8/JL8)*100</f>
        <v>7.5124631280695325E-2</v>
      </c>
      <c r="JV8" s="52">
        <f t="shared" ref="JV8:JV10" si="105">JQ8+JY8</f>
        <v>1864298</v>
      </c>
      <c r="JW8" s="52">
        <v>91557</v>
      </c>
      <c r="JX8" s="52">
        <v>93561</v>
      </c>
      <c r="JY8" s="52">
        <v>-2004</v>
      </c>
      <c r="JZ8" s="54">
        <f t="shared" ref="JZ8:JZ10" si="106">(JY8/JQ8)*100</f>
        <v>-0.10737811993985968</v>
      </c>
      <c r="KA8" s="52">
        <f t="shared" ref="KA8:KA10" si="107">JV8+KD8</f>
        <v>1858541</v>
      </c>
      <c r="KB8" s="52">
        <v>95070</v>
      </c>
      <c r="KC8" s="52">
        <v>100827</v>
      </c>
      <c r="KD8" s="52">
        <v>-5757</v>
      </c>
      <c r="KE8" s="54">
        <f t="shared" ref="KE8:KE10" si="108">(KD8/JV8)*100</f>
        <v>-0.30880256268042983</v>
      </c>
      <c r="KF8" s="52">
        <f t="shared" ref="KF8:KF10" si="109">KA8+KI8</f>
        <v>1839654</v>
      </c>
      <c r="KG8" s="52">
        <v>81144</v>
      </c>
      <c r="KH8" s="52">
        <v>100031</v>
      </c>
      <c r="KI8" s="52">
        <v>-18887</v>
      </c>
      <c r="KJ8" s="54">
        <f t="shared" ref="KJ8:KJ10" si="110">(KI8/KA8)*100</f>
        <v>-1.0162272449195364</v>
      </c>
      <c r="KK8" s="52">
        <f t="shared" ref="KK8:KK10" si="111">KF8+KN8</f>
        <v>1792982</v>
      </c>
      <c r="KL8" s="52">
        <v>63185</v>
      </c>
      <c r="KM8" s="52">
        <v>109857</v>
      </c>
      <c r="KN8" s="52">
        <v>-46672</v>
      </c>
      <c r="KO8" s="54">
        <f t="shared" ref="KO8:KO10" si="112">(KN8/KF8)*100</f>
        <v>-2.5369988052101102</v>
      </c>
      <c r="KP8" s="52">
        <f t="shared" ref="KP8:KP10" si="113">KK8+KS8</f>
        <v>1828736</v>
      </c>
      <c r="KQ8" s="52">
        <v>128372</v>
      </c>
      <c r="KR8" s="52">
        <v>92618</v>
      </c>
      <c r="KS8" s="52">
        <v>35754</v>
      </c>
      <c r="KT8" s="54">
        <f t="shared" ref="KT8:KT10" si="114">(KS8/KK8)*100</f>
        <v>1.9941081394012881</v>
      </c>
      <c r="KU8" s="52">
        <f t="shared" ref="KU8:KU10" si="115">KP8+KX8</f>
        <v>1848578</v>
      </c>
      <c r="KV8" s="52">
        <v>120205</v>
      </c>
      <c r="KW8" s="52">
        <v>100363</v>
      </c>
      <c r="KX8" s="52">
        <v>19842</v>
      </c>
      <c r="KY8" s="54">
        <f t="shared" ref="KY8:KY10" si="116">(KX8/KP8)*100</f>
        <v>1.0850117239448449</v>
      </c>
      <c r="KZ8" s="52">
        <f t="shared" ref="KZ8:KZ10" si="117">KU8+LC8</f>
        <v>1842934</v>
      </c>
      <c r="LA8" s="52">
        <v>105093</v>
      </c>
      <c r="LB8" s="52">
        <v>110737</v>
      </c>
      <c r="LC8" s="52">
        <v>-5644</v>
      </c>
      <c r="LD8" s="54">
        <f t="shared" ref="LD8:LD10" si="118">(LC8/KU8)*100</f>
        <v>-0.30531576162866808</v>
      </c>
      <c r="LE8" s="52">
        <f t="shared" ref="LE8:LE10" si="119">KZ8+LH8</f>
        <v>1846959</v>
      </c>
      <c r="LF8" s="52">
        <v>106109</v>
      </c>
      <c r="LG8" s="52">
        <v>102084</v>
      </c>
      <c r="LH8" s="52">
        <v>4025</v>
      </c>
      <c r="LI8" s="54">
        <f t="shared" ref="LI8:LI10" si="120">(LH8/KZ8)*100</f>
        <v>0.21840174417532043</v>
      </c>
      <c r="LJ8" s="52">
        <f t="shared" ref="LJ8:LJ10" si="121">LE8+LM8</f>
        <v>1864307</v>
      </c>
      <c r="LK8" s="52">
        <v>121825</v>
      </c>
      <c r="LL8" s="52">
        <v>104477</v>
      </c>
      <c r="LM8" s="52">
        <v>17348</v>
      </c>
      <c r="LN8" s="54">
        <f t="shared" ref="LN8:LN10" si="122">(LM8/LE8)*100</f>
        <v>0.93927369259415061</v>
      </c>
      <c r="LO8" s="52">
        <f t="shared" ref="LO8:LO10" si="123">LJ8+LR8</f>
        <v>1890140</v>
      </c>
      <c r="LP8" s="52">
        <v>115261</v>
      </c>
      <c r="LQ8" s="52">
        <v>89428</v>
      </c>
      <c r="LR8" s="52">
        <v>25833</v>
      </c>
      <c r="LS8" s="54">
        <f t="shared" ref="LS8:LS10" si="124">(LR8/LJ8)*100</f>
        <v>1.3856623399472296</v>
      </c>
      <c r="LT8" s="52">
        <f t="shared" ref="LT8:LT10" si="125">LO8+LW8</f>
        <v>1898935</v>
      </c>
      <c r="LU8" s="52">
        <v>109024</v>
      </c>
      <c r="LV8" s="52">
        <v>100229</v>
      </c>
      <c r="LW8" s="52">
        <v>8795</v>
      </c>
      <c r="LX8" s="54">
        <f t="shared" ref="LX8:LX10" si="126">(LW8/LO8)*100</f>
        <v>0.46530944797739854</v>
      </c>
      <c r="LY8" s="52">
        <f t="shared" ref="LY8:LY10" si="127">LT8+MB8</f>
        <v>1896270</v>
      </c>
      <c r="LZ8" s="52">
        <v>96454</v>
      </c>
      <c r="MA8" s="52">
        <v>99119</v>
      </c>
      <c r="MB8" s="52">
        <v>-2665</v>
      </c>
      <c r="MC8" s="54">
        <f t="shared" ref="MC8:MC10" si="128">(MB8/LT8)*100</f>
        <v>-0.14034182317983501</v>
      </c>
      <c r="MD8" s="52">
        <f t="shared" ref="MD8:MD10" si="129">LY8+MG8</f>
        <v>1899437</v>
      </c>
      <c r="ME8" s="52">
        <v>96665</v>
      </c>
      <c r="MF8" s="52">
        <v>93498</v>
      </c>
      <c r="MG8" s="52">
        <v>3167</v>
      </c>
      <c r="MH8" s="54">
        <f t="shared" ref="MH8:MH10" si="130">(MG8/LY8)*100</f>
        <v>0.16701208161285047</v>
      </c>
      <c r="MI8" s="52">
        <f t="shared" ref="MI8:MI10" si="131">MD8+ML8</f>
        <v>1889520</v>
      </c>
      <c r="MJ8" s="52">
        <v>94411</v>
      </c>
      <c r="MK8" s="52">
        <v>104328</v>
      </c>
      <c r="ML8" s="52">
        <v>-9917</v>
      </c>
      <c r="MM8" s="54">
        <f t="shared" ref="MM8:MM10" si="132">(ML8/MD8)*100</f>
        <v>-0.52210207550974319</v>
      </c>
      <c r="MN8" s="52">
        <f t="shared" ref="MN8:MN10" si="133">MI8+MQ8</f>
        <v>1872954</v>
      </c>
      <c r="MO8" s="52">
        <v>77356</v>
      </c>
      <c r="MP8" s="52">
        <v>93922</v>
      </c>
      <c r="MQ8" s="52">
        <v>-16566</v>
      </c>
      <c r="MR8" s="54">
        <f t="shared" si="6"/>
        <v>-0.87673059824717392</v>
      </c>
      <c r="MS8" s="52">
        <f t="shared" ref="MS8:MS10" si="134">MN8+MV8</f>
        <v>1829118</v>
      </c>
      <c r="MT8" s="52">
        <v>63201</v>
      </c>
      <c r="MU8" s="52">
        <v>107037</v>
      </c>
      <c r="MV8" s="52">
        <v>-43836</v>
      </c>
      <c r="MW8" s="54">
        <f t="shared" si="7"/>
        <v>-2.3404739251471205</v>
      </c>
      <c r="MX8" s="52">
        <f>MS8+NA8</f>
        <v>1852191</v>
      </c>
      <c r="MY8" s="52">
        <v>113385</v>
      </c>
      <c r="MZ8" s="52">
        <v>90312</v>
      </c>
      <c r="NA8" s="52">
        <v>23073</v>
      </c>
      <c r="NB8" s="54">
        <v>1.2550027370452881</v>
      </c>
      <c r="NC8" s="52">
        <f>MX8+NF8</f>
        <v>1860314</v>
      </c>
      <c r="ND8" s="52">
        <v>111197</v>
      </c>
      <c r="NE8" s="52">
        <v>103074</v>
      </c>
      <c r="NF8" s="52">
        <v>8123</v>
      </c>
      <c r="NG8" s="54">
        <f t="shared" si="8"/>
        <v>0.43664671662955823</v>
      </c>
      <c r="NH8" s="52">
        <f>NC8+NK8</f>
        <v>1842218</v>
      </c>
      <c r="NI8" s="52">
        <v>109101</v>
      </c>
      <c r="NJ8" s="52">
        <v>127197</v>
      </c>
      <c r="NK8" s="52">
        <v>-18096</v>
      </c>
      <c r="NL8" s="54">
        <f t="shared" si="9"/>
        <v>-0.9822941693111239</v>
      </c>
      <c r="NM8" s="52">
        <f t="shared" ref="NM8:NM10" si="135">SUM(ND8,MY8,NI8)</f>
        <v>333683</v>
      </c>
      <c r="NN8" s="52">
        <f t="shared" si="10"/>
        <v>320583</v>
      </c>
      <c r="NO8" s="52">
        <f t="shared" si="10"/>
        <v>13100</v>
      </c>
      <c r="NP8" s="54">
        <f t="shared" ref="NP8:NP10" si="136">(NO8/MS8)*100</f>
        <v>0.71619217568248739</v>
      </c>
      <c r="NQ8" s="52">
        <f t="shared" ref="NQ8:NQ10" si="137">SUM(MT8,MO8,MJ8,ME8,LZ8,LU8,LP8,LK8,LF8,MY8,ND8,NI8)</f>
        <v>1213989</v>
      </c>
      <c r="NR8" s="52">
        <f t="shared" si="11"/>
        <v>1214705</v>
      </c>
      <c r="NS8" s="52">
        <f t="shared" si="11"/>
        <v>-716</v>
      </c>
      <c r="NT8" s="54">
        <f t="shared" ref="NT8:NT10" si="138">NS8/(NH8-NS8)*100</f>
        <v>-3.8851092876901722E-2</v>
      </c>
      <c r="NU8" s="54"/>
    </row>
    <row r="9" spans="1:385" s="32" customFormat="1" ht="31.5" customHeight="1">
      <c r="A9" s="31"/>
      <c r="B9" s="53" t="s">
        <v>8</v>
      </c>
      <c r="C9" s="52">
        <f t="shared" si="12"/>
        <v>7705770</v>
      </c>
      <c r="D9" s="52">
        <v>240766</v>
      </c>
      <c r="E9" s="52">
        <v>184933</v>
      </c>
      <c r="F9" s="52">
        <v>55833</v>
      </c>
      <c r="G9" s="52">
        <f t="shared" si="13"/>
        <v>7742002</v>
      </c>
      <c r="H9" s="52">
        <v>250477</v>
      </c>
      <c r="I9" s="52">
        <v>214245</v>
      </c>
      <c r="J9" s="52">
        <v>36232</v>
      </c>
      <c r="K9" s="54">
        <f t="shared" si="0"/>
        <v>0.47019311502938704</v>
      </c>
      <c r="L9" s="52">
        <f t="shared" si="14"/>
        <v>7708261</v>
      </c>
      <c r="M9" s="52">
        <v>225973</v>
      </c>
      <c r="N9" s="52">
        <v>259714</v>
      </c>
      <c r="O9" s="52">
        <v>-33741</v>
      </c>
      <c r="P9" s="54">
        <f t="shared" ref="P9" si="139">(O9/G9)*100</f>
        <v>-0.43581750560126437</v>
      </c>
      <c r="Q9" s="52">
        <f t="shared" si="15"/>
        <v>7503183</v>
      </c>
      <c r="R9" s="52">
        <v>96258</v>
      </c>
      <c r="S9" s="52">
        <v>301336</v>
      </c>
      <c r="T9" s="52">
        <v>-205078</v>
      </c>
      <c r="U9" s="54">
        <f t="shared" ref="U9" si="140">(T9/L9)*100</f>
        <v>-2.6604963168735467</v>
      </c>
      <c r="V9" s="52">
        <f t="shared" si="16"/>
        <v>7402518</v>
      </c>
      <c r="W9" s="52">
        <v>102957</v>
      </c>
      <c r="X9" s="52">
        <v>203622</v>
      </c>
      <c r="Y9" s="52">
        <v>-100665</v>
      </c>
      <c r="Z9" s="54">
        <f t="shared" ref="Z9" si="141">(Y9/Q9)*100</f>
        <v>-1.3416306119682806</v>
      </c>
      <c r="AA9" s="52">
        <f t="shared" si="17"/>
        <v>7397001</v>
      </c>
      <c r="AB9" s="52">
        <v>145974</v>
      </c>
      <c r="AC9" s="52">
        <v>151491</v>
      </c>
      <c r="AD9" s="52">
        <v>-5517</v>
      </c>
      <c r="AE9" s="54">
        <f t="shared" ref="AE9" si="142">(AD9/V9)*100</f>
        <v>-7.4528694155150982E-2</v>
      </c>
      <c r="AF9" s="52">
        <f t="shared" si="18"/>
        <v>7449632</v>
      </c>
      <c r="AG9" s="52">
        <v>207798</v>
      </c>
      <c r="AH9" s="52">
        <v>155167</v>
      </c>
      <c r="AI9" s="52">
        <v>52631</v>
      </c>
      <c r="AJ9" s="54">
        <f t="shared" ref="AJ9" si="143">(AI9/AA9)*100</f>
        <v>0.7115180868570925</v>
      </c>
      <c r="AK9" s="52">
        <f t="shared" si="19"/>
        <v>7542465</v>
      </c>
      <c r="AL9" s="52">
        <v>256386</v>
      </c>
      <c r="AM9" s="52">
        <v>163553</v>
      </c>
      <c r="AN9" s="52">
        <v>92833</v>
      </c>
      <c r="AO9" s="54">
        <f t="shared" ref="AO9" si="144">(AN9/AF9)*100</f>
        <v>1.2461420913140409</v>
      </c>
      <c r="AP9" s="52">
        <f t="shared" si="20"/>
        <v>7653165</v>
      </c>
      <c r="AQ9" s="52">
        <v>295576</v>
      </c>
      <c r="AR9" s="52">
        <v>184876</v>
      </c>
      <c r="AS9" s="52">
        <v>110700</v>
      </c>
      <c r="AT9" s="54">
        <f t="shared" ref="AT9" si="145">(AS9/AK9)*100</f>
        <v>1.467689939562199</v>
      </c>
      <c r="AU9" s="52">
        <f t="shared" si="21"/>
        <v>7738948</v>
      </c>
      <c r="AV9" s="52">
        <v>286999</v>
      </c>
      <c r="AW9" s="52">
        <v>201216</v>
      </c>
      <c r="AX9" s="52">
        <v>85783</v>
      </c>
      <c r="AY9" s="54">
        <f t="shared" ref="AY9" si="146">(AX9/AP9)*100</f>
        <v>1.1208826674976955</v>
      </c>
      <c r="AZ9" s="52">
        <f t="shared" si="22"/>
        <v>7789461</v>
      </c>
      <c r="BA9" s="52">
        <v>253408</v>
      </c>
      <c r="BB9" s="52">
        <v>202895</v>
      </c>
      <c r="BC9" s="52">
        <v>50513</v>
      </c>
      <c r="BD9" s="54">
        <f t="shared" ref="BD9" si="147">(BC9/AU9)*100</f>
        <v>0.65271145380483242</v>
      </c>
      <c r="BE9" s="52">
        <f t="shared" si="23"/>
        <v>7746559</v>
      </c>
      <c r="BF9" s="52">
        <v>174451</v>
      </c>
      <c r="BG9" s="52">
        <v>217353</v>
      </c>
      <c r="BH9" s="52">
        <v>-42902</v>
      </c>
      <c r="BI9" s="54">
        <f t="shared" ref="BI9" si="148">(BH9/AZ9)*100</f>
        <v>-0.55076981578057838</v>
      </c>
      <c r="BJ9" s="52">
        <f t="shared" si="24"/>
        <v>7836795</v>
      </c>
      <c r="BK9" s="52">
        <v>296040</v>
      </c>
      <c r="BL9" s="52">
        <v>205804</v>
      </c>
      <c r="BM9" s="52">
        <v>90236</v>
      </c>
      <c r="BN9" s="54">
        <f t="shared" si="25"/>
        <v>1.164852678460204</v>
      </c>
      <c r="BO9" s="52">
        <f t="shared" si="26"/>
        <v>7929794</v>
      </c>
      <c r="BP9" s="52">
        <v>322289</v>
      </c>
      <c r="BQ9" s="52">
        <v>229290</v>
      </c>
      <c r="BR9" s="52">
        <v>92999</v>
      </c>
      <c r="BS9" s="54">
        <f t="shared" si="27"/>
        <v>1.1866968575801715</v>
      </c>
      <c r="BT9" s="52">
        <f t="shared" si="28"/>
        <v>7970586</v>
      </c>
      <c r="BU9" s="52">
        <v>294054</v>
      </c>
      <c r="BV9" s="52">
        <v>253262</v>
      </c>
      <c r="BW9" s="52">
        <v>40792</v>
      </c>
      <c r="BX9" s="54">
        <f t="shared" si="29"/>
        <v>0.51441437192441564</v>
      </c>
      <c r="BY9" s="52">
        <f t="shared" si="30"/>
        <v>7989226</v>
      </c>
      <c r="BZ9" s="52">
        <v>243008</v>
      </c>
      <c r="CA9" s="52">
        <v>224368</v>
      </c>
      <c r="CB9" s="52">
        <v>18640</v>
      </c>
      <c r="CC9" s="54">
        <f t="shared" si="31"/>
        <v>0.23385984418209652</v>
      </c>
      <c r="CD9" s="52">
        <f t="shared" si="32"/>
        <v>8032989</v>
      </c>
      <c r="CE9" s="52">
        <v>258154</v>
      </c>
      <c r="CF9" s="52">
        <v>214391</v>
      </c>
      <c r="CG9" s="52">
        <v>43763</v>
      </c>
      <c r="CH9" s="54">
        <f t="shared" si="33"/>
        <v>0.54777521627251502</v>
      </c>
      <c r="CI9" s="52">
        <f t="shared" si="34"/>
        <v>8083111</v>
      </c>
      <c r="CJ9" s="52">
        <v>262080</v>
      </c>
      <c r="CK9" s="52">
        <v>211958</v>
      </c>
      <c r="CL9" s="52">
        <v>50122</v>
      </c>
      <c r="CM9" s="54">
        <f t="shared" si="35"/>
        <v>0.62395205570429635</v>
      </c>
      <c r="CN9" s="52">
        <f>CS9-CV9</f>
        <v>8141941</v>
      </c>
      <c r="CO9" s="52">
        <v>278431</v>
      </c>
      <c r="CP9" s="52">
        <v>219601</v>
      </c>
      <c r="CQ9" s="52">
        <v>58830</v>
      </c>
      <c r="CR9" s="54">
        <f t="shared" si="37"/>
        <v>0.72781383306501668</v>
      </c>
      <c r="CS9" s="52">
        <f t="shared" ref="CS9:CS10" si="149">CX9-DA9</f>
        <v>8214703</v>
      </c>
      <c r="CT9" s="52">
        <v>310814</v>
      </c>
      <c r="CU9" s="52">
        <v>238052</v>
      </c>
      <c r="CV9" s="52">
        <v>72762</v>
      </c>
      <c r="CW9" s="54">
        <f t="shared" si="38"/>
        <v>0.89366896665058115</v>
      </c>
      <c r="CX9" s="52">
        <f t="shared" si="39"/>
        <v>8290898</v>
      </c>
      <c r="CY9" s="52">
        <v>310478</v>
      </c>
      <c r="CZ9" s="52">
        <v>234283</v>
      </c>
      <c r="DA9" s="52">
        <v>76195</v>
      </c>
      <c r="DB9" s="54">
        <f t="shared" si="40"/>
        <v>0.92754418510322278</v>
      </c>
      <c r="DC9" s="52">
        <f t="shared" si="41"/>
        <v>8317595</v>
      </c>
      <c r="DD9" s="52">
        <v>270604</v>
      </c>
      <c r="DE9" s="52">
        <v>243907</v>
      </c>
      <c r="DF9" s="52">
        <v>26697</v>
      </c>
      <c r="DG9" s="54">
        <f t="shared" si="42"/>
        <v>0.32200372022427481</v>
      </c>
      <c r="DH9" s="52">
        <f t="shared" si="43"/>
        <v>8325772</v>
      </c>
      <c r="DI9" s="52">
        <v>243191</v>
      </c>
      <c r="DJ9" s="52">
        <v>235014</v>
      </c>
      <c r="DK9" s="52">
        <v>8177</v>
      </c>
      <c r="DL9" s="54">
        <f t="shared" si="44"/>
        <v>9.8309667638301707E-2</v>
      </c>
      <c r="DM9" s="52">
        <f t="shared" si="45"/>
        <v>8233725</v>
      </c>
      <c r="DN9" s="52">
        <v>166083</v>
      </c>
      <c r="DO9" s="52">
        <v>258130</v>
      </c>
      <c r="DP9" s="52">
        <v>-92047</v>
      </c>
      <c r="DQ9" s="54">
        <f t="shared" si="46"/>
        <v>-1.1055671474068711</v>
      </c>
      <c r="DR9" s="52">
        <f t="shared" si="47"/>
        <v>8285144</v>
      </c>
      <c r="DS9" s="52">
        <v>284673</v>
      </c>
      <c r="DT9" s="52">
        <v>233254</v>
      </c>
      <c r="DU9" s="52">
        <v>51419</v>
      </c>
      <c r="DV9" s="54">
        <f t="shared" si="48"/>
        <v>0.62449255956447425</v>
      </c>
      <c r="DW9" s="52">
        <f t="shared" si="49"/>
        <v>8328144</v>
      </c>
      <c r="DX9" s="52">
        <v>312833</v>
      </c>
      <c r="DY9" s="52">
        <v>269833</v>
      </c>
      <c r="DZ9" s="52">
        <v>43000</v>
      </c>
      <c r="EA9" s="54">
        <f t="shared" si="50"/>
        <v>0.51900123884388727</v>
      </c>
      <c r="EB9" s="52">
        <f t="shared" si="51"/>
        <v>8343404</v>
      </c>
      <c r="EC9" s="52">
        <v>309012</v>
      </c>
      <c r="ED9" s="52">
        <v>293752</v>
      </c>
      <c r="EE9" s="52">
        <v>15260</v>
      </c>
      <c r="EF9" s="54">
        <f t="shared" si="52"/>
        <v>0.18323410354095701</v>
      </c>
      <c r="EG9" s="52">
        <f t="shared" si="53"/>
        <v>8369782</v>
      </c>
      <c r="EH9" s="52">
        <v>285885</v>
      </c>
      <c r="EI9" s="52">
        <v>259507</v>
      </c>
      <c r="EJ9" s="52">
        <v>26378</v>
      </c>
      <c r="EK9" s="54">
        <f t="shared" si="54"/>
        <v>0.31615393429348498</v>
      </c>
      <c r="EL9" s="52">
        <f t="shared" si="55"/>
        <v>8416757</v>
      </c>
      <c r="EM9" s="52">
        <v>308939</v>
      </c>
      <c r="EN9" s="52">
        <v>261964</v>
      </c>
      <c r="EO9" s="52">
        <v>46975</v>
      </c>
      <c r="EP9" s="54">
        <f t="shared" si="56"/>
        <v>0.56124520328008543</v>
      </c>
      <c r="EQ9" s="52">
        <f t="shared" si="57"/>
        <v>8458274</v>
      </c>
      <c r="ER9" s="52">
        <v>293330</v>
      </c>
      <c r="ES9" s="52">
        <v>251813</v>
      </c>
      <c r="ET9" s="52">
        <v>41517</v>
      </c>
      <c r="EU9" s="54">
        <f t="shared" si="58"/>
        <v>0.49326599306597541</v>
      </c>
      <c r="EV9" s="52">
        <f t="shared" si="59"/>
        <v>8508777</v>
      </c>
      <c r="EW9" s="52">
        <v>303323</v>
      </c>
      <c r="EX9" s="52">
        <v>252820</v>
      </c>
      <c r="EY9" s="52">
        <v>50503</v>
      </c>
      <c r="EZ9" s="54">
        <f t="shared" si="60"/>
        <v>0.59708399136750601</v>
      </c>
      <c r="FA9" s="52">
        <f t="shared" si="61"/>
        <v>8561537</v>
      </c>
      <c r="FB9" s="52">
        <v>324438</v>
      </c>
      <c r="FC9" s="52">
        <v>271678</v>
      </c>
      <c r="FD9" s="52">
        <v>52760</v>
      </c>
      <c r="FE9" s="54">
        <f t="shared" si="62"/>
        <v>0.62006560989904891</v>
      </c>
      <c r="FF9" s="52">
        <f t="shared" si="63"/>
        <v>8618446</v>
      </c>
      <c r="FG9" s="52">
        <v>306362</v>
      </c>
      <c r="FH9" s="52">
        <v>249453</v>
      </c>
      <c r="FI9" s="52">
        <v>56909</v>
      </c>
      <c r="FJ9" s="54">
        <f t="shared" si="64"/>
        <v>0.66470541446004383</v>
      </c>
      <c r="FK9" s="52">
        <f t="shared" si="65"/>
        <v>8633337</v>
      </c>
      <c r="FL9" s="52">
        <v>263318</v>
      </c>
      <c r="FM9" s="52">
        <v>248427</v>
      </c>
      <c r="FN9" s="52">
        <v>14891</v>
      </c>
      <c r="FO9" s="54">
        <f t="shared" si="66"/>
        <v>0.17278056856189619</v>
      </c>
      <c r="FP9" s="52">
        <f t="shared" si="67"/>
        <v>8607630</v>
      </c>
      <c r="FQ9" s="52">
        <v>229430</v>
      </c>
      <c r="FR9" s="52">
        <v>255137</v>
      </c>
      <c r="FS9" s="52">
        <v>-25707</v>
      </c>
      <c r="FT9" s="54">
        <f t="shared" si="68"/>
        <v>-0.29776435230085424</v>
      </c>
      <c r="FU9" s="52">
        <f t="shared" si="69"/>
        <v>8493384</v>
      </c>
      <c r="FV9" s="52">
        <v>156219</v>
      </c>
      <c r="FW9" s="52">
        <v>270465</v>
      </c>
      <c r="FX9" s="52">
        <v>-114246</v>
      </c>
      <c r="FY9" s="54">
        <f t="shared" si="70"/>
        <v>-1.3272642992321928</v>
      </c>
      <c r="FZ9" s="52">
        <f t="shared" si="71"/>
        <v>8527407</v>
      </c>
      <c r="GA9" s="52">
        <v>296574</v>
      </c>
      <c r="GB9" s="52">
        <v>262551</v>
      </c>
      <c r="GC9" s="52">
        <v>34023</v>
      </c>
      <c r="GD9" s="54">
        <f t="shared" si="72"/>
        <v>0.40058238271106078</v>
      </c>
      <c r="GE9" s="52">
        <f t="shared" si="73"/>
        <v>8567787</v>
      </c>
      <c r="GF9" s="52">
        <v>305814</v>
      </c>
      <c r="GG9" s="52">
        <v>265434</v>
      </c>
      <c r="GH9" s="52">
        <v>40380</v>
      </c>
      <c r="GI9" s="54">
        <f t="shared" si="74"/>
        <v>0.47353198926707735</v>
      </c>
      <c r="GJ9" s="52">
        <f t="shared" si="75"/>
        <v>8588771</v>
      </c>
      <c r="GK9" s="52">
        <v>334970</v>
      </c>
      <c r="GL9" s="52">
        <v>313986</v>
      </c>
      <c r="GM9" s="52">
        <v>20984</v>
      </c>
      <c r="GN9" s="54">
        <f t="shared" si="76"/>
        <v>0.24491738648498149</v>
      </c>
      <c r="GO9" s="52">
        <f t="shared" si="77"/>
        <v>8607484</v>
      </c>
      <c r="GP9" s="52">
        <v>291273</v>
      </c>
      <c r="GQ9" s="52">
        <v>272560</v>
      </c>
      <c r="GR9" s="52">
        <v>18713</v>
      </c>
      <c r="GS9" s="54">
        <f t="shared" si="78"/>
        <v>0.21787750540793321</v>
      </c>
      <c r="GT9" s="52">
        <f t="shared" si="79"/>
        <v>8615913</v>
      </c>
      <c r="GU9" s="52">
        <v>305955</v>
      </c>
      <c r="GV9" s="52">
        <v>297526</v>
      </c>
      <c r="GW9" s="52">
        <v>8429</v>
      </c>
      <c r="GX9" s="54">
        <f t="shared" si="80"/>
        <v>9.7926409157426259E-2</v>
      </c>
      <c r="GY9" s="52">
        <f t="shared" si="81"/>
        <v>8628030</v>
      </c>
      <c r="GZ9" s="52">
        <v>288512</v>
      </c>
      <c r="HA9" s="52">
        <v>276395</v>
      </c>
      <c r="HB9" s="52">
        <v>12117</v>
      </c>
      <c r="HC9" s="54">
        <f t="shared" si="82"/>
        <v>0.14063512479756932</v>
      </c>
      <c r="HD9" s="52">
        <f t="shared" si="83"/>
        <v>8649284</v>
      </c>
      <c r="HE9" s="52">
        <v>291362</v>
      </c>
      <c r="HF9" s="52">
        <v>270108</v>
      </c>
      <c r="HG9" s="52">
        <v>21254</v>
      </c>
      <c r="HH9" s="54">
        <f t="shared" si="84"/>
        <v>0.24633664926987969</v>
      </c>
      <c r="HI9" s="52">
        <f t="shared" si="85"/>
        <v>8680370</v>
      </c>
      <c r="HJ9" s="52">
        <v>327861</v>
      </c>
      <c r="HK9" s="52">
        <v>296775</v>
      </c>
      <c r="HL9" s="52">
        <v>31086</v>
      </c>
      <c r="HM9" s="54">
        <f t="shared" si="86"/>
        <v>0.35940547217550034</v>
      </c>
      <c r="HN9" s="52">
        <f t="shared" si="87"/>
        <v>8723584</v>
      </c>
      <c r="HO9" s="52">
        <v>301495</v>
      </c>
      <c r="HP9" s="52">
        <v>258281</v>
      </c>
      <c r="HQ9" s="52">
        <v>43214</v>
      </c>
      <c r="HR9" s="54">
        <f t="shared" si="88"/>
        <v>0.49783592174066316</v>
      </c>
      <c r="HS9" s="52">
        <f t="shared" si="89"/>
        <v>8744538</v>
      </c>
      <c r="HT9" s="52">
        <v>285880</v>
      </c>
      <c r="HU9" s="52">
        <v>264926</v>
      </c>
      <c r="HV9" s="52">
        <v>20954</v>
      </c>
      <c r="HW9" s="54">
        <f t="shared" si="90"/>
        <v>0.24019944096371398</v>
      </c>
      <c r="HX9" s="52">
        <f t="shared" si="91"/>
        <v>8731627</v>
      </c>
      <c r="HY9" s="52">
        <v>250561</v>
      </c>
      <c r="HZ9" s="52">
        <v>263472</v>
      </c>
      <c r="IA9" s="52">
        <v>-12911</v>
      </c>
      <c r="IB9" s="54">
        <f t="shared" si="92"/>
        <v>-0.14764645084737466</v>
      </c>
      <c r="IC9" s="52">
        <v>8620621</v>
      </c>
      <c r="ID9" s="52">
        <v>173547</v>
      </c>
      <c r="IE9" s="52">
        <v>284553</v>
      </c>
      <c r="IF9" s="52">
        <v>-111006</v>
      </c>
      <c r="IG9" s="54">
        <f t="shared" si="93"/>
        <v>-1.2713094592794676</v>
      </c>
      <c r="IH9" s="52">
        <f t="shared" si="94"/>
        <v>8687650</v>
      </c>
      <c r="II9" s="52">
        <v>336020</v>
      </c>
      <c r="IJ9" s="52">
        <v>268991</v>
      </c>
      <c r="IK9" s="52">
        <v>67029</v>
      </c>
      <c r="IL9" s="54">
        <f t="shared" si="1"/>
        <v>0.77754259234920542</v>
      </c>
      <c r="IM9" s="52">
        <f t="shared" si="95"/>
        <v>8742098</v>
      </c>
      <c r="IN9" s="52">
        <v>352923</v>
      </c>
      <c r="IO9" s="52">
        <v>298475</v>
      </c>
      <c r="IP9" s="52">
        <v>54448</v>
      </c>
      <c r="IQ9" s="54">
        <f t="shared" si="96"/>
        <v>0.62672874712954596</v>
      </c>
      <c r="IR9" s="52">
        <f t="shared" si="97"/>
        <v>8777984</v>
      </c>
      <c r="IS9" s="52">
        <v>351011</v>
      </c>
      <c r="IT9" s="52">
        <v>315125</v>
      </c>
      <c r="IU9" s="52">
        <v>35886</v>
      </c>
      <c r="IV9" s="54">
        <f t="shared" si="98"/>
        <v>0.41049642774537648</v>
      </c>
      <c r="IW9" s="52">
        <f t="shared" si="2"/>
        <v>8813974</v>
      </c>
      <c r="IX9" s="52">
        <v>361885</v>
      </c>
      <c r="IY9" s="52">
        <v>325895</v>
      </c>
      <c r="IZ9" s="52">
        <v>35990</v>
      </c>
      <c r="JA9" s="54">
        <f t="shared" si="99"/>
        <v>0.41000302575169878</v>
      </c>
      <c r="JB9" s="52">
        <f t="shared" si="3"/>
        <v>8832119</v>
      </c>
      <c r="JC9" s="52">
        <v>321202</v>
      </c>
      <c r="JD9" s="52">
        <v>303057</v>
      </c>
      <c r="JE9" s="52">
        <v>18145</v>
      </c>
      <c r="JF9" s="54">
        <f t="shared" si="100"/>
        <v>0.20586627553019782</v>
      </c>
      <c r="JG9" s="52">
        <f t="shared" si="4"/>
        <v>8864142</v>
      </c>
      <c r="JH9" s="52">
        <v>320466</v>
      </c>
      <c r="JI9" s="52">
        <v>288443</v>
      </c>
      <c r="JJ9" s="52">
        <v>32023</v>
      </c>
      <c r="JK9" s="54">
        <f t="shared" si="101"/>
        <v>0.36257437201650022</v>
      </c>
      <c r="JL9" s="52">
        <f t="shared" si="5"/>
        <v>8913613</v>
      </c>
      <c r="JM9" s="52">
        <v>355721</v>
      </c>
      <c r="JN9" s="52">
        <v>306250</v>
      </c>
      <c r="JO9" s="52">
        <v>49471</v>
      </c>
      <c r="JP9" s="54">
        <f t="shared" si="102"/>
        <v>0.55810252137206284</v>
      </c>
      <c r="JQ9" s="52">
        <f t="shared" si="103"/>
        <v>8965247</v>
      </c>
      <c r="JR9" s="52">
        <v>362966</v>
      </c>
      <c r="JS9" s="52">
        <v>311332</v>
      </c>
      <c r="JT9" s="52">
        <v>51634</v>
      </c>
      <c r="JU9" s="54">
        <f t="shared" si="104"/>
        <v>0.57927127866107719</v>
      </c>
      <c r="JV9" s="52">
        <f t="shared" si="105"/>
        <v>9025074</v>
      </c>
      <c r="JW9" s="52">
        <v>350899</v>
      </c>
      <c r="JX9" s="52">
        <v>291072</v>
      </c>
      <c r="JY9" s="52">
        <v>59827</v>
      </c>
      <c r="JZ9" s="54">
        <f t="shared" si="106"/>
        <v>0.66732126844915707</v>
      </c>
      <c r="KA9" s="52">
        <f t="shared" si="107"/>
        <v>9048803</v>
      </c>
      <c r="KB9" s="52">
        <v>344779</v>
      </c>
      <c r="KC9" s="52">
        <v>321050</v>
      </c>
      <c r="KD9" s="52">
        <v>23729</v>
      </c>
      <c r="KE9" s="54">
        <f t="shared" si="108"/>
        <v>0.26292305193287058</v>
      </c>
      <c r="KF9" s="52">
        <f t="shared" si="109"/>
        <v>9042125</v>
      </c>
      <c r="KG9" s="52">
        <v>276702</v>
      </c>
      <c r="KH9" s="52">
        <v>283380</v>
      </c>
      <c r="KI9" s="52">
        <v>-6678</v>
      </c>
      <c r="KJ9" s="54">
        <f t="shared" si="110"/>
        <v>-7.3799816395605039E-2</v>
      </c>
      <c r="KK9" s="52">
        <f t="shared" si="111"/>
        <v>8925703</v>
      </c>
      <c r="KL9" s="52">
        <v>176461</v>
      </c>
      <c r="KM9" s="52">
        <v>292883</v>
      </c>
      <c r="KN9" s="52">
        <v>-116422</v>
      </c>
      <c r="KO9" s="54">
        <f t="shared" si="112"/>
        <v>-1.2875513222832022</v>
      </c>
      <c r="KP9" s="52">
        <f t="shared" si="113"/>
        <v>8996131</v>
      </c>
      <c r="KQ9" s="52">
        <v>376449</v>
      </c>
      <c r="KR9" s="52">
        <v>306021</v>
      </c>
      <c r="KS9" s="52">
        <v>70428</v>
      </c>
      <c r="KT9" s="54">
        <f t="shared" si="114"/>
        <v>0.78904709242510096</v>
      </c>
      <c r="KU9" s="52">
        <f t="shared" si="115"/>
        <v>9066015</v>
      </c>
      <c r="KV9" s="52">
        <v>407183</v>
      </c>
      <c r="KW9" s="52">
        <v>337299</v>
      </c>
      <c r="KX9" s="52">
        <v>69884</v>
      </c>
      <c r="KY9" s="54">
        <f t="shared" si="116"/>
        <v>0.77682283639489014</v>
      </c>
      <c r="KZ9" s="52">
        <f t="shared" si="117"/>
        <v>9079146</v>
      </c>
      <c r="LA9" s="52">
        <v>353960</v>
      </c>
      <c r="LB9" s="52">
        <v>340829</v>
      </c>
      <c r="LC9" s="52">
        <v>13131</v>
      </c>
      <c r="LD9" s="54">
        <f t="shared" si="118"/>
        <v>0.14483761608600912</v>
      </c>
      <c r="LE9" s="52">
        <f t="shared" si="119"/>
        <v>9114214</v>
      </c>
      <c r="LF9" s="52">
        <v>360591</v>
      </c>
      <c r="LG9" s="52">
        <v>325523</v>
      </c>
      <c r="LH9" s="52">
        <v>35068</v>
      </c>
      <c r="LI9" s="54">
        <f t="shared" si="120"/>
        <v>0.38624778145433503</v>
      </c>
      <c r="LJ9" s="52">
        <f t="shared" si="121"/>
        <v>9135783</v>
      </c>
      <c r="LK9" s="52">
        <v>344875</v>
      </c>
      <c r="LL9" s="52">
        <v>323306</v>
      </c>
      <c r="LM9" s="52">
        <v>21569</v>
      </c>
      <c r="LN9" s="54">
        <f t="shared" si="122"/>
        <v>0.23665233228010665</v>
      </c>
      <c r="LO9" s="52">
        <f t="shared" si="123"/>
        <v>9155888</v>
      </c>
      <c r="LP9" s="52">
        <v>326689</v>
      </c>
      <c r="LQ9" s="52">
        <v>306584</v>
      </c>
      <c r="LR9" s="52">
        <v>20105</v>
      </c>
      <c r="LS9" s="54">
        <f t="shared" si="124"/>
        <v>0.22006871222751243</v>
      </c>
      <c r="LT9" s="52">
        <f t="shared" si="125"/>
        <v>9180314</v>
      </c>
      <c r="LU9" s="52">
        <v>353542</v>
      </c>
      <c r="LV9" s="52">
        <v>329116</v>
      </c>
      <c r="LW9" s="52">
        <v>24426</v>
      </c>
      <c r="LX9" s="54">
        <f t="shared" si="126"/>
        <v>0.26677914801928554</v>
      </c>
      <c r="LY9" s="52">
        <f t="shared" si="127"/>
        <v>9199412</v>
      </c>
      <c r="LZ9" s="52">
        <v>342784</v>
      </c>
      <c r="MA9" s="52">
        <v>323686</v>
      </c>
      <c r="MB9" s="52">
        <v>19098</v>
      </c>
      <c r="MC9" s="54">
        <f t="shared" si="128"/>
        <v>0.20803209999135105</v>
      </c>
      <c r="MD9" s="52">
        <f t="shared" si="129"/>
        <v>9242507</v>
      </c>
      <c r="ME9" s="52">
        <v>359669</v>
      </c>
      <c r="MF9" s="52">
        <v>316574</v>
      </c>
      <c r="MG9" s="52">
        <v>43095</v>
      </c>
      <c r="MH9" s="54">
        <f t="shared" si="130"/>
        <v>0.4684538533549753</v>
      </c>
      <c r="MI9" s="52">
        <f t="shared" si="131"/>
        <v>9232415</v>
      </c>
      <c r="MJ9" s="52">
        <v>326980</v>
      </c>
      <c r="MK9" s="52">
        <v>337072</v>
      </c>
      <c r="ML9" s="52">
        <v>-10092</v>
      </c>
      <c r="MM9" s="54">
        <f t="shared" si="132"/>
        <v>-0.10919115343921298</v>
      </c>
      <c r="MN9" s="52">
        <f t="shared" si="133"/>
        <v>9205280</v>
      </c>
      <c r="MO9" s="52">
        <v>263122</v>
      </c>
      <c r="MP9" s="52">
        <v>290257</v>
      </c>
      <c r="MQ9" s="52">
        <v>-27135</v>
      </c>
      <c r="MR9" s="54">
        <f t="shared" si="6"/>
        <v>-0.29391009827872772</v>
      </c>
      <c r="MS9" s="52">
        <f t="shared" si="134"/>
        <v>9070193</v>
      </c>
      <c r="MT9" s="52">
        <v>167306</v>
      </c>
      <c r="MU9" s="52">
        <v>302393</v>
      </c>
      <c r="MV9" s="52">
        <v>-135087</v>
      </c>
      <c r="MW9" s="54">
        <f t="shared" si="7"/>
        <v>-1.4674947421479847</v>
      </c>
      <c r="MX9" s="52">
        <f t="shared" ref="MX9:MX10" si="150">MS9+NA9</f>
        <v>9125184</v>
      </c>
      <c r="MY9" s="52">
        <v>353793</v>
      </c>
      <c r="MZ9" s="52">
        <v>298802</v>
      </c>
      <c r="NA9" s="52">
        <v>54991</v>
      </c>
      <c r="NB9" s="54">
        <v>0.60631096363067627</v>
      </c>
      <c r="NC9" s="52">
        <f t="shared" ref="NC9:NC10" si="151">MX9+NF9</f>
        <v>9157211</v>
      </c>
      <c r="ND9" s="52">
        <v>358595</v>
      </c>
      <c r="NE9" s="52">
        <v>326568</v>
      </c>
      <c r="NF9" s="52">
        <v>32027</v>
      </c>
      <c r="NG9" s="54">
        <f t="shared" si="8"/>
        <v>0.34974622731746596</v>
      </c>
      <c r="NH9" s="52">
        <f t="shared" ref="NH9:NH10" si="152">NC9+NK9</f>
        <v>9185547</v>
      </c>
      <c r="NI9" s="52">
        <v>386664</v>
      </c>
      <c r="NJ9" s="52">
        <v>358328</v>
      </c>
      <c r="NK9" s="52">
        <v>28336</v>
      </c>
      <c r="NL9" s="54">
        <f t="shared" si="9"/>
        <v>0.30848462263597365</v>
      </c>
      <c r="NM9" s="52">
        <f t="shared" si="135"/>
        <v>1099052</v>
      </c>
      <c r="NN9" s="52">
        <f t="shared" si="10"/>
        <v>983698</v>
      </c>
      <c r="NO9" s="52">
        <f t="shared" si="10"/>
        <v>115354</v>
      </c>
      <c r="NP9" s="54">
        <f t="shared" si="136"/>
        <v>1.2717921217332422</v>
      </c>
      <c r="NQ9" s="52">
        <f t="shared" si="137"/>
        <v>3944610</v>
      </c>
      <c r="NR9" s="52">
        <f t="shared" si="11"/>
        <v>3838209</v>
      </c>
      <c r="NS9" s="52">
        <f t="shared" si="11"/>
        <v>106401</v>
      </c>
      <c r="NT9" s="54">
        <f t="shared" si="138"/>
        <v>1.1719274037448015</v>
      </c>
      <c r="NU9" s="54"/>
    </row>
    <row r="10" spans="1:385" ht="31.5" customHeight="1">
      <c r="A10" s="23"/>
      <c r="B10" s="55" t="s">
        <v>9</v>
      </c>
      <c r="C10" s="56">
        <f t="shared" si="12"/>
        <v>221142</v>
      </c>
      <c r="D10" s="56">
        <v>3284</v>
      </c>
      <c r="E10" s="56">
        <v>3127</v>
      </c>
      <c r="F10" s="56">
        <v>157</v>
      </c>
      <c r="G10" s="56">
        <f t="shared" si="13"/>
        <v>222481</v>
      </c>
      <c r="H10" s="56">
        <v>4463</v>
      </c>
      <c r="I10" s="56">
        <v>3124</v>
      </c>
      <c r="J10" s="56">
        <v>1339</v>
      </c>
      <c r="K10" s="58">
        <f t="shared" si="0"/>
        <v>0.60549330294561865</v>
      </c>
      <c r="L10" s="56">
        <f t="shared" si="14"/>
        <v>222288</v>
      </c>
      <c r="M10" s="56">
        <v>3685</v>
      </c>
      <c r="N10" s="56">
        <v>3878</v>
      </c>
      <c r="O10" s="56">
        <v>-193</v>
      </c>
      <c r="P10" s="58">
        <f>(O10/G10)*100</f>
        <v>-8.6748980811844609E-2</v>
      </c>
      <c r="Q10" s="56">
        <f t="shared" si="15"/>
        <v>221002</v>
      </c>
      <c r="R10" s="56">
        <v>2063</v>
      </c>
      <c r="S10" s="56">
        <v>3349</v>
      </c>
      <c r="T10" s="56">
        <v>-1286</v>
      </c>
      <c r="U10" s="58">
        <f>(T10/L10)*100</f>
        <v>-0.57852875548837546</v>
      </c>
      <c r="V10" s="56">
        <f t="shared" si="16"/>
        <v>220458</v>
      </c>
      <c r="W10" s="56">
        <v>2598</v>
      </c>
      <c r="X10" s="56">
        <v>3142</v>
      </c>
      <c r="Y10" s="56">
        <v>-544</v>
      </c>
      <c r="Z10" s="58">
        <f>(Y10/Q10)*100</f>
        <v>-0.24615161853738882</v>
      </c>
      <c r="AA10" s="56">
        <f t="shared" si="17"/>
        <v>221094</v>
      </c>
      <c r="AB10" s="56">
        <v>3563</v>
      </c>
      <c r="AC10" s="56">
        <v>2927</v>
      </c>
      <c r="AD10" s="56">
        <v>636</v>
      </c>
      <c r="AE10" s="58">
        <f>(AD10/V10)*100</f>
        <v>0.28849032468769564</v>
      </c>
      <c r="AF10" s="56">
        <f t="shared" si="18"/>
        <v>221985</v>
      </c>
      <c r="AG10" s="56">
        <v>4062</v>
      </c>
      <c r="AH10" s="56">
        <v>3171</v>
      </c>
      <c r="AI10" s="56">
        <v>891</v>
      </c>
      <c r="AJ10" s="58">
        <f>(AI10/AA10)*100</f>
        <v>0.40299601074656033</v>
      </c>
      <c r="AK10" s="56">
        <f t="shared" si="19"/>
        <v>222859</v>
      </c>
      <c r="AL10" s="56">
        <v>4400</v>
      </c>
      <c r="AM10" s="56">
        <v>3526</v>
      </c>
      <c r="AN10" s="56">
        <v>874</v>
      </c>
      <c r="AO10" s="58">
        <f>(AN10/AF10)*100</f>
        <v>0.39372029641642459</v>
      </c>
      <c r="AP10" s="56">
        <f t="shared" si="20"/>
        <v>223756</v>
      </c>
      <c r="AQ10" s="56">
        <v>4611</v>
      </c>
      <c r="AR10" s="56">
        <v>3714</v>
      </c>
      <c r="AS10" s="56">
        <v>897</v>
      </c>
      <c r="AT10" s="58">
        <f>(AS10/AK10)*100</f>
        <v>0.40249664586128453</v>
      </c>
      <c r="AU10" s="56">
        <f t="shared" si="21"/>
        <v>224976</v>
      </c>
      <c r="AV10" s="56">
        <v>4682</v>
      </c>
      <c r="AW10" s="56">
        <v>3462</v>
      </c>
      <c r="AX10" s="56">
        <v>1220</v>
      </c>
      <c r="AY10" s="58">
        <f>(AX10/AP10)*100</f>
        <v>0.54523677577361052</v>
      </c>
      <c r="AZ10" s="56">
        <f t="shared" si="22"/>
        <v>226056</v>
      </c>
      <c r="BA10" s="56">
        <v>4383</v>
      </c>
      <c r="BB10" s="56">
        <v>3303</v>
      </c>
      <c r="BC10" s="56">
        <v>1080</v>
      </c>
      <c r="BD10" s="58">
        <f>(BC10/AU10)*100</f>
        <v>0.48005120546191599</v>
      </c>
      <c r="BE10" s="56">
        <f t="shared" si="23"/>
        <v>225515</v>
      </c>
      <c r="BF10" s="56">
        <v>3405</v>
      </c>
      <c r="BG10" s="56">
        <v>3946</v>
      </c>
      <c r="BH10" s="56">
        <v>-541</v>
      </c>
      <c r="BI10" s="58">
        <f>(BH10/AZ10)*100</f>
        <v>-0.23932123013766501</v>
      </c>
      <c r="BJ10" s="56">
        <f t="shared" si="24"/>
        <v>226999</v>
      </c>
      <c r="BK10" s="56">
        <v>4711</v>
      </c>
      <c r="BL10" s="56">
        <v>3227</v>
      </c>
      <c r="BM10" s="56">
        <v>1484</v>
      </c>
      <c r="BN10" s="58">
        <f t="shared" si="25"/>
        <v>0.65804935370152762</v>
      </c>
      <c r="BO10" s="56">
        <f t="shared" si="26"/>
        <v>229347</v>
      </c>
      <c r="BP10" s="56">
        <v>5560</v>
      </c>
      <c r="BQ10" s="56">
        <v>3212</v>
      </c>
      <c r="BR10" s="56">
        <v>2348</v>
      </c>
      <c r="BS10" s="58">
        <f t="shared" si="27"/>
        <v>1.0343657901576659</v>
      </c>
      <c r="BT10" s="56">
        <f t="shared" si="28"/>
        <v>230753</v>
      </c>
      <c r="BU10" s="56">
        <v>5477</v>
      </c>
      <c r="BV10" s="56">
        <v>4071</v>
      </c>
      <c r="BW10" s="56">
        <v>1406</v>
      </c>
      <c r="BX10" s="58">
        <f t="shared" si="29"/>
        <v>0.61304486215211007</v>
      </c>
      <c r="BY10" s="56">
        <f t="shared" si="30"/>
        <v>233121</v>
      </c>
      <c r="BZ10" s="56">
        <v>5715</v>
      </c>
      <c r="CA10" s="56">
        <v>3347</v>
      </c>
      <c r="CB10" s="56">
        <v>2368</v>
      </c>
      <c r="CC10" s="58">
        <f t="shared" si="31"/>
        <v>1.0262055097875218</v>
      </c>
      <c r="CD10" s="56">
        <f t="shared" si="32"/>
        <v>235671</v>
      </c>
      <c r="CE10" s="56">
        <v>6209</v>
      </c>
      <c r="CF10" s="56">
        <v>3659</v>
      </c>
      <c r="CG10" s="56">
        <v>2550</v>
      </c>
      <c r="CH10" s="58">
        <f t="shared" si="33"/>
        <v>1.0938525486764383</v>
      </c>
      <c r="CI10" s="56">
        <f t="shared" si="34"/>
        <v>237910</v>
      </c>
      <c r="CJ10" s="56">
        <v>5903</v>
      </c>
      <c r="CK10" s="56">
        <v>3664</v>
      </c>
      <c r="CL10" s="56">
        <v>2239</v>
      </c>
      <c r="CM10" s="58">
        <f t="shared" si="35"/>
        <v>0.9500532522032834</v>
      </c>
      <c r="CN10" s="56">
        <f t="shared" si="36"/>
        <v>240044</v>
      </c>
      <c r="CO10" s="56">
        <v>6080</v>
      </c>
      <c r="CP10" s="56">
        <v>3946</v>
      </c>
      <c r="CQ10" s="56">
        <v>2134</v>
      </c>
      <c r="CR10" s="58">
        <f t="shared" si="37"/>
        <v>0.89697784876634024</v>
      </c>
      <c r="CS10" s="56">
        <f t="shared" si="149"/>
        <v>241725</v>
      </c>
      <c r="CT10" s="56">
        <v>5921</v>
      </c>
      <c r="CU10" s="56">
        <v>4240</v>
      </c>
      <c r="CV10" s="56">
        <v>1681</v>
      </c>
      <c r="CW10" s="58">
        <f t="shared" si="38"/>
        <v>0.70028828048191161</v>
      </c>
      <c r="CX10" s="56">
        <f t="shared" si="39"/>
        <v>243393</v>
      </c>
      <c r="CY10" s="56">
        <v>5947</v>
      </c>
      <c r="CZ10" s="56">
        <v>4279</v>
      </c>
      <c r="DA10" s="56">
        <v>1668</v>
      </c>
      <c r="DB10" s="58">
        <f t="shared" si="40"/>
        <v>0.69004033509152962</v>
      </c>
      <c r="DC10" s="56">
        <f t="shared" si="41"/>
        <v>244544</v>
      </c>
      <c r="DD10" s="56">
        <v>5326</v>
      </c>
      <c r="DE10" s="56">
        <v>4175</v>
      </c>
      <c r="DF10" s="56">
        <v>1151</v>
      </c>
      <c r="DG10" s="58">
        <f t="shared" si="42"/>
        <v>0.47289774151269759</v>
      </c>
      <c r="DH10" s="56">
        <f t="shared" si="43"/>
        <v>245003</v>
      </c>
      <c r="DI10" s="56">
        <v>4588</v>
      </c>
      <c r="DJ10" s="56">
        <v>4129</v>
      </c>
      <c r="DK10" s="56">
        <v>459</v>
      </c>
      <c r="DL10" s="58">
        <f t="shared" si="44"/>
        <v>0.1876962836953677</v>
      </c>
      <c r="DM10" s="56">
        <f t="shared" si="45"/>
        <v>243878</v>
      </c>
      <c r="DN10" s="56">
        <v>3628</v>
      </c>
      <c r="DO10" s="56">
        <v>4753</v>
      </c>
      <c r="DP10" s="56">
        <v>-1125</v>
      </c>
      <c r="DQ10" s="58">
        <f t="shared" si="46"/>
        <v>-0.4591780508810096</v>
      </c>
      <c r="DR10" s="56">
        <f t="shared" si="47"/>
        <v>244385</v>
      </c>
      <c r="DS10" s="56">
        <v>4481</v>
      </c>
      <c r="DT10" s="56">
        <v>3974</v>
      </c>
      <c r="DU10" s="56">
        <v>507</v>
      </c>
      <c r="DV10" s="58">
        <f t="shared" si="48"/>
        <v>0.20789083066123226</v>
      </c>
      <c r="DW10" s="56">
        <f t="shared" si="49"/>
        <v>246289</v>
      </c>
      <c r="DX10" s="56">
        <v>6167</v>
      </c>
      <c r="DY10" s="56">
        <v>4263</v>
      </c>
      <c r="DZ10" s="56">
        <v>1904</v>
      </c>
      <c r="EA10" s="58">
        <f t="shared" si="50"/>
        <v>0.77909855351187673</v>
      </c>
      <c r="EB10" s="56">
        <f t="shared" si="51"/>
        <v>247180</v>
      </c>
      <c r="EC10" s="56">
        <v>5492</v>
      </c>
      <c r="ED10" s="56">
        <v>4601</v>
      </c>
      <c r="EE10" s="56">
        <v>891</v>
      </c>
      <c r="EF10" s="58">
        <f t="shared" si="52"/>
        <v>0.36177011559590561</v>
      </c>
      <c r="EG10" s="56">
        <f t="shared" si="53"/>
        <v>248671</v>
      </c>
      <c r="EH10" s="56">
        <v>5767</v>
      </c>
      <c r="EI10" s="56">
        <v>4276</v>
      </c>
      <c r="EJ10" s="56">
        <v>1491</v>
      </c>
      <c r="EK10" s="58">
        <f t="shared" si="54"/>
        <v>0.60320414272999434</v>
      </c>
      <c r="EL10" s="56">
        <f t="shared" si="55"/>
        <v>250192</v>
      </c>
      <c r="EM10" s="56">
        <v>6098</v>
      </c>
      <c r="EN10" s="56">
        <v>4577</v>
      </c>
      <c r="EO10" s="56">
        <v>1521</v>
      </c>
      <c r="EP10" s="58">
        <f t="shared" si="56"/>
        <v>0.61165153958443086</v>
      </c>
      <c r="EQ10" s="56">
        <f t="shared" si="57"/>
        <v>251529</v>
      </c>
      <c r="ER10" s="56">
        <v>5673</v>
      </c>
      <c r="ES10" s="56">
        <v>4336</v>
      </c>
      <c r="ET10" s="56">
        <v>1337</v>
      </c>
      <c r="EU10" s="58">
        <f t="shared" si="58"/>
        <v>0.53438958879580489</v>
      </c>
      <c r="EV10" s="56">
        <f t="shared" si="59"/>
        <v>253100</v>
      </c>
      <c r="EW10" s="56">
        <v>5960</v>
      </c>
      <c r="EX10" s="56">
        <v>4389</v>
      </c>
      <c r="EY10" s="56">
        <v>1571</v>
      </c>
      <c r="EZ10" s="58">
        <f t="shared" si="60"/>
        <v>0.62458006830226331</v>
      </c>
      <c r="FA10" s="56">
        <f t="shared" si="61"/>
        <v>254330</v>
      </c>
      <c r="FB10" s="56">
        <v>6202</v>
      </c>
      <c r="FC10" s="56">
        <v>4972</v>
      </c>
      <c r="FD10" s="56">
        <v>1230</v>
      </c>
      <c r="FE10" s="58">
        <f t="shared" si="62"/>
        <v>0.48597392335045442</v>
      </c>
      <c r="FF10" s="56">
        <f t="shared" si="63"/>
        <v>255449</v>
      </c>
      <c r="FG10" s="56">
        <v>5899</v>
      </c>
      <c r="FH10" s="56">
        <v>4780</v>
      </c>
      <c r="FI10" s="56">
        <v>1119</v>
      </c>
      <c r="FJ10" s="58">
        <f t="shared" si="64"/>
        <v>0.43997955412259665</v>
      </c>
      <c r="FK10" s="56">
        <f t="shared" si="65"/>
        <v>256134</v>
      </c>
      <c r="FL10" s="56">
        <v>5817</v>
      </c>
      <c r="FM10" s="56">
        <v>5132</v>
      </c>
      <c r="FN10" s="56">
        <v>685</v>
      </c>
      <c r="FO10" s="58">
        <f t="shared" si="66"/>
        <v>0.2681552873567718</v>
      </c>
      <c r="FP10" s="56">
        <f t="shared" si="67"/>
        <v>257038</v>
      </c>
      <c r="FQ10" s="56">
        <v>5644</v>
      </c>
      <c r="FR10" s="56">
        <v>4740</v>
      </c>
      <c r="FS10" s="56">
        <v>904</v>
      </c>
      <c r="FT10" s="58">
        <f t="shared" si="68"/>
        <v>0.35294025783379013</v>
      </c>
      <c r="FU10" s="56">
        <f t="shared" si="69"/>
        <v>256700</v>
      </c>
      <c r="FV10" s="56">
        <v>4145</v>
      </c>
      <c r="FW10" s="56">
        <v>4483</v>
      </c>
      <c r="FX10" s="56">
        <v>-338</v>
      </c>
      <c r="FY10" s="58">
        <f t="shared" si="70"/>
        <v>-0.13149806643375689</v>
      </c>
      <c r="FZ10" s="56">
        <f t="shared" si="71"/>
        <v>257041</v>
      </c>
      <c r="GA10" s="56">
        <v>5157</v>
      </c>
      <c r="GB10" s="56">
        <v>4816</v>
      </c>
      <c r="GC10" s="56">
        <v>341</v>
      </c>
      <c r="GD10" s="58">
        <f t="shared" si="72"/>
        <v>0.13283989092325671</v>
      </c>
      <c r="GE10" s="56">
        <f t="shared" si="73"/>
        <v>258366</v>
      </c>
      <c r="GF10" s="56">
        <v>5802</v>
      </c>
      <c r="GG10" s="56">
        <v>4477</v>
      </c>
      <c r="GH10" s="56">
        <v>1325</v>
      </c>
      <c r="GI10" s="58">
        <f t="shared" si="74"/>
        <v>0.51548196591205298</v>
      </c>
      <c r="GJ10" s="56">
        <f t="shared" si="75"/>
        <v>259932</v>
      </c>
      <c r="GK10" s="56">
        <v>6720</v>
      </c>
      <c r="GL10" s="56">
        <v>5154</v>
      </c>
      <c r="GM10" s="56">
        <v>1566</v>
      </c>
      <c r="GN10" s="58">
        <f t="shared" si="76"/>
        <v>0.60611690392698725</v>
      </c>
      <c r="GO10" s="56">
        <f t="shared" si="77"/>
        <v>262407</v>
      </c>
      <c r="GP10" s="56">
        <v>6933</v>
      </c>
      <c r="GQ10" s="56">
        <v>4458</v>
      </c>
      <c r="GR10" s="56">
        <v>2475</v>
      </c>
      <c r="GS10" s="58">
        <f t="shared" si="78"/>
        <v>0.95217210655094398</v>
      </c>
      <c r="GT10" s="56">
        <f t="shared" si="79"/>
        <v>265051</v>
      </c>
      <c r="GU10" s="56">
        <v>7583</v>
      </c>
      <c r="GV10" s="56">
        <v>4939</v>
      </c>
      <c r="GW10" s="56">
        <v>2644</v>
      </c>
      <c r="GX10" s="58">
        <f t="shared" si="80"/>
        <v>1.0075950717778108</v>
      </c>
      <c r="GY10" s="56">
        <f t="shared" si="81"/>
        <v>266876</v>
      </c>
      <c r="GZ10" s="56">
        <v>7131</v>
      </c>
      <c r="HA10" s="56">
        <v>5306</v>
      </c>
      <c r="HB10" s="56">
        <v>1825</v>
      </c>
      <c r="HC10" s="58">
        <f t="shared" si="82"/>
        <v>0.68854673251562915</v>
      </c>
      <c r="HD10" s="56">
        <f t="shared" si="83"/>
        <v>268091</v>
      </c>
      <c r="HE10" s="56">
        <v>6317</v>
      </c>
      <c r="HF10" s="56">
        <v>5102</v>
      </c>
      <c r="HG10" s="56">
        <v>1215</v>
      </c>
      <c r="HH10" s="58">
        <f t="shared" si="84"/>
        <v>0.45526761492228601</v>
      </c>
      <c r="HI10" s="56">
        <f t="shared" si="85"/>
        <v>269157</v>
      </c>
      <c r="HJ10" s="56">
        <v>6563</v>
      </c>
      <c r="HK10" s="56">
        <v>5497</v>
      </c>
      <c r="HL10" s="56">
        <v>1066</v>
      </c>
      <c r="HM10" s="58">
        <f t="shared" si="86"/>
        <v>0.39762617917050558</v>
      </c>
      <c r="HN10" s="56">
        <f t="shared" si="87"/>
        <v>270239</v>
      </c>
      <c r="HO10" s="56">
        <v>6115</v>
      </c>
      <c r="HP10" s="56">
        <v>5033</v>
      </c>
      <c r="HQ10" s="56">
        <v>1082</v>
      </c>
      <c r="HR10" s="58">
        <f t="shared" si="88"/>
        <v>0.4019958611516698</v>
      </c>
      <c r="HS10" s="56">
        <f t="shared" si="89"/>
        <v>271347</v>
      </c>
      <c r="HT10" s="56">
        <v>5745</v>
      </c>
      <c r="HU10" s="56">
        <v>4637</v>
      </c>
      <c r="HV10" s="56">
        <v>1108</v>
      </c>
      <c r="HW10" s="58">
        <f t="shared" si="90"/>
        <v>0.41000743786056049</v>
      </c>
      <c r="HX10" s="56">
        <f t="shared" si="91"/>
        <v>271631</v>
      </c>
      <c r="HY10" s="56">
        <v>4995</v>
      </c>
      <c r="HZ10" s="56">
        <v>4711</v>
      </c>
      <c r="IA10" s="56">
        <v>284</v>
      </c>
      <c r="IB10" s="58">
        <f t="shared" si="92"/>
        <v>0.10466303294305815</v>
      </c>
      <c r="IC10" s="56">
        <v>271196</v>
      </c>
      <c r="ID10" s="56">
        <v>3935</v>
      </c>
      <c r="IE10" s="56">
        <v>4370</v>
      </c>
      <c r="IF10" s="56">
        <v>-435</v>
      </c>
      <c r="IG10" s="58">
        <f t="shared" si="93"/>
        <v>-0.16014372439080959</v>
      </c>
      <c r="IH10" s="56">
        <f t="shared" si="94"/>
        <v>271671</v>
      </c>
      <c r="II10" s="56">
        <v>5596</v>
      </c>
      <c r="IJ10" s="56">
        <v>5121</v>
      </c>
      <c r="IK10" s="56">
        <v>475</v>
      </c>
      <c r="IL10" s="58">
        <f t="shared" si="1"/>
        <v>0.1751500759598224</v>
      </c>
      <c r="IM10" s="56">
        <f t="shared" si="95"/>
        <v>272929</v>
      </c>
      <c r="IN10" s="57">
        <v>6401</v>
      </c>
      <c r="IO10" s="57">
        <v>5143</v>
      </c>
      <c r="IP10" s="57">
        <v>1258</v>
      </c>
      <c r="IQ10" s="58">
        <f t="shared" si="96"/>
        <v>0.46306009842787788</v>
      </c>
      <c r="IR10" s="56">
        <f t="shared" si="97"/>
        <v>273792</v>
      </c>
      <c r="IS10" s="57">
        <v>6285</v>
      </c>
      <c r="IT10" s="57">
        <v>5422</v>
      </c>
      <c r="IU10" s="57">
        <v>863</v>
      </c>
      <c r="IV10" s="58">
        <f t="shared" si="98"/>
        <v>0.31619945113930731</v>
      </c>
      <c r="IW10" s="56">
        <f t="shared" si="2"/>
        <v>275679</v>
      </c>
      <c r="IX10" s="59">
        <v>7130</v>
      </c>
      <c r="IY10" s="59">
        <v>5243</v>
      </c>
      <c r="IZ10" s="59">
        <v>1887</v>
      </c>
      <c r="JA10" s="58">
        <f t="shared" si="99"/>
        <v>0.68920932678821878</v>
      </c>
      <c r="JB10" s="56">
        <f t="shared" si="3"/>
        <v>277673</v>
      </c>
      <c r="JC10" s="59">
        <v>7044</v>
      </c>
      <c r="JD10" s="59">
        <v>5050</v>
      </c>
      <c r="JE10" s="59">
        <v>1994</v>
      </c>
      <c r="JF10" s="58">
        <f t="shared" si="100"/>
        <v>0.72330500328280356</v>
      </c>
      <c r="JG10" s="56">
        <f t="shared" si="4"/>
        <v>279330</v>
      </c>
      <c r="JH10" s="59">
        <v>6717</v>
      </c>
      <c r="JI10" s="59">
        <v>5060</v>
      </c>
      <c r="JJ10" s="59">
        <v>1657</v>
      </c>
      <c r="JK10" s="58">
        <f t="shared" si="101"/>
        <v>0.59674509224879624</v>
      </c>
      <c r="JL10" s="56">
        <f t="shared" si="5"/>
        <v>280572</v>
      </c>
      <c r="JM10" s="59">
        <v>6909</v>
      </c>
      <c r="JN10" s="59">
        <v>5667</v>
      </c>
      <c r="JO10" s="59">
        <v>1242</v>
      </c>
      <c r="JP10" s="58">
        <f t="shared" si="102"/>
        <v>0.4446353775104715</v>
      </c>
      <c r="JQ10" s="56">
        <f t="shared" si="103"/>
        <v>282118</v>
      </c>
      <c r="JR10" s="59">
        <v>6798</v>
      </c>
      <c r="JS10" s="59">
        <v>5252</v>
      </c>
      <c r="JT10" s="59">
        <v>1546</v>
      </c>
      <c r="JU10" s="58">
        <f t="shared" si="104"/>
        <v>0.55101720770426121</v>
      </c>
      <c r="JV10" s="56">
        <f t="shared" si="105"/>
        <v>283299</v>
      </c>
      <c r="JW10" s="59">
        <v>6417</v>
      </c>
      <c r="JX10" s="59">
        <v>5236</v>
      </c>
      <c r="JY10" s="59">
        <v>1181</v>
      </c>
      <c r="JZ10" s="58">
        <f t="shared" si="106"/>
        <v>0.41861915935884986</v>
      </c>
      <c r="KA10" s="56">
        <f t="shared" si="107"/>
        <v>283381</v>
      </c>
      <c r="KB10" s="59">
        <v>5969</v>
      </c>
      <c r="KC10" s="59">
        <v>5887</v>
      </c>
      <c r="KD10" s="59">
        <v>82</v>
      </c>
      <c r="KE10" s="58">
        <f t="shared" si="108"/>
        <v>2.894468388522374E-2</v>
      </c>
      <c r="KF10" s="56">
        <f t="shared" si="109"/>
        <v>283613</v>
      </c>
      <c r="KG10" s="59">
        <v>5672</v>
      </c>
      <c r="KH10" s="59">
        <v>5440</v>
      </c>
      <c r="KI10" s="59">
        <v>232</v>
      </c>
      <c r="KJ10" s="58">
        <f t="shared" si="110"/>
        <v>8.1868579756582127E-2</v>
      </c>
      <c r="KK10" s="56">
        <f t="shared" si="111"/>
        <v>282780</v>
      </c>
      <c r="KL10" s="59">
        <v>4174</v>
      </c>
      <c r="KM10" s="59">
        <v>5007</v>
      </c>
      <c r="KN10" s="59">
        <v>-833</v>
      </c>
      <c r="KO10" s="58">
        <f t="shared" si="112"/>
        <v>-0.29371009086325378</v>
      </c>
      <c r="KP10" s="56">
        <f t="shared" si="113"/>
        <v>283380</v>
      </c>
      <c r="KQ10" s="59">
        <v>6059</v>
      </c>
      <c r="KR10" s="59">
        <v>5459</v>
      </c>
      <c r="KS10" s="59">
        <v>600</v>
      </c>
      <c r="KT10" s="58">
        <f t="shared" si="114"/>
        <v>0.21217907914279655</v>
      </c>
      <c r="KU10" s="56">
        <f t="shared" si="115"/>
        <v>285114</v>
      </c>
      <c r="KV10" s="59">
        <v>7245</v>
      </c>
      <c r="KW10" s="59">
        <v>5511</v>
      </c>
      <c r="KX10" s="59">
        <v>1734</v>
      </c>
      <c r="KY10" s="58">
        <f t="shared" si="116"/>
        <v>0.61189921659961888</v>
      </c>
      <c r="KZ10" s="56">
        <f t="shared" si="117"/>
        <v>285569</v>
      </c>
      <c r="LA10" s="59">
        <v>6026</v>
      </c>
      <c r="LB10" s="59">
        <v>5571</v>
      </c>
      <c r="LC10" s="59">
        <v>455</v>
      </c>
      <c r="LD10" s="58">
        <f t="shared" si="118"/>
        <v>0.15958528869154093</v>
      </c>
      <c r="LE10" s="56">
        <f t="shared" si="119"/>
        <v>286579</v>
      </c>
      <c r="LF10" s="59">
        <v>6292</v>
      </c>
      <c r="LG10" s="59">
        <v>5282</v>
      </c>
      <c r="LH10" s="59">
        <v>1010</v>
      </c>
      <c r="LI10" s="58">
        <f t="shared" si="120"/>
        <v>0.3536798462017936</v>
      </c>
      <c r="LJ10" s="56">
        <f t="shared" si="121"/>
        <v>287893</v>
      </c>
      <c r="LK10" s="59">
        <v>6799</v>
      </c>
      <c r="LL10" s="59">
        <v>5485</v>
      </c>
      <c r="LM10" s="59">
        <v>1314</v>
      </c>
      <c r="LN10" s="58">
        <f t="shared" si="122"/>
        <v>0.4585123124862604</v>
      </c>
      <c r="LO10" s="56">
        <f t="shared" si="123"/>
        <v>288950</v>
      </c>
      <c r="LP10" s="59">
        <v>6317</v>
      </c>
      <c r="LQ10" s="59">
        <v>5260</v>
      </c>
      <c r="LR10" s="59">
        <v>1057</v>
      </c>
      <c r="LS10" s="58">
        <f t="shared" si="124"/>
        <v>0.36715029542225758</v>
      </c>
      <c r="LT10" s="56">
        <f t="shared" si="125"/>
        <v>290736</v>
      </c>
      <c r="LU10" s="59">
        <v>7249</v>
      </c>
      <c r="LV10" s="59">
        <v>5463</v>
      </c>
      <c r="LW10" s="59">
        <v>1786</v>
      </c>
      <c r="LX10" s="58">
        <f t="shared" si="126"/>
        <v>0.61810001730403186</v>
      </c>
      <c r="LY10" s="56">
        <f t="shared" si="127"/>
        <v>291233</v>
      </c>
      <c r="LZ10" s="59">
        <v>6377</v>
      </c>
      <c r="MA10" s="59">
        <v>5880</v>
      </c>
      <c r="MB10" s="59">
        <v>497</v>
      </c>
      <c r="MC10" s="58">
        <f t="shared" si="128"/>
        <v>0.17094546255021736</v>
      </c>
      <c r="MD10" s="56">
        <f t="shared" si="129"/>
        <v>292074</v>
      </c>
      <c r="ME10" s="59">
        <v>6626</v>
      </c>
      <c r="MF10" s="59">
        <v>5785</v>
      </c>
      <c r="MG10" s="59">
        <v>841</v>
      </c>
      <c r="MH10" s="58">
        <f t="shared" si="130"/>
        <v>0.28877222018109211</v>
      </c>
      <c r="MI10" s="56">
        <f t="shared" si="131"/>
        <v>292856</v>
      </c>
      <c r="MJ10" s="59">
        <v>6627</v>
      </c>
      <c r="MK10" s="59">
        <v>5845</v>
      </c>
      <c r="ML10" s="59">
        <v>782</v>
      </c>
      <c r="MM10" s="58">
        <f t="shared" si="132"/>
        <v>0.26774036716722471</v>
      </c>
      <c r="MN10" s="56">
        <f t="shared" si="133"/>
        <v>293159</v>
      </c>
      <c r="MO10" s="59">
        <v>5668</v>
      </c>
      <c r="MP10" s="59">
        <v>5365</v>
      </c>
      <c r="MQ10" s="59">
        <v>303</v>
      </c>
      <c r="MR10" s="58">
        <f t="shared" si="6"/>
        <v>0.10346381839538886</v>
      </c>
      <c r="MS10" s="56">
        <f t="shared" si="134"/>
        <v>292290</v>
      </c>
      <c r="MT10" s="59">
        <v>4497</v>
      </c>
      <c r="MU10" s="59">
        <v>5366</v>
      </c>
      <c r="MV10" s="59">
        <v>-869</v>
      </c>
      <c r="MW10" s="58">
        <f t="shared" si="7"/>
        <v>-0.29642617146326738</v>
      </c>
      <c r="MX10" s="56">
        <f t="shared" si="150"/>
        <v>292731</v>
      </c>
      <c r="MY10" s="59">
        <v>5786</v>
      </c>
      <c r="MZ10" s="59">
        <v>5345</v>
      </c>
      <c r="NA10" s="59">
        <v>441</v>
      </c>
      <c r="NB10" s="58">
        <v>0.15114334225654602</v>
      </c>
      <c r="NC10" s="56">
        <f t="shared" si="151"/>
        <v>293930</v>
      </c>
      <c r="ND10" s="59">
        <v>6297</v>
      </c>
      <c r="NE10" s="59">
        <v>5098</v>
      </c>
      <c r="NF10" s="59">
        <v>1199</v>
      </c>
      <c r="NG10" s="58">
        <f t="shared" si="8"/>
        <v>0.40792025312149155</v>
      </c>
      <c r="NH10" s="56">
        <f t="shared" si="152"/>
        <v>295616</v>
      </c>
      <c r="NI10" s="59">
        <v>7284</v>
      </c>
      <c r="NJ10" s="59">
        <v>5598</v>
      </c>
      <c r="NK10" s="59">
        <v>1686</v>
      </c>
      <c r="NL10" s="58">
        <f t="shared" si="9"/>
        <v>0.57033448798441222</v>
      </c>
      <c r="NM10" s="59">
        <f t="shared" si="135"/>
        <v>19367</v>
      </c>
      <c r="NN10" s="59">
        <f t="shared" si="10"/>
        <v>16041</v>
      </c>
      <c r="NO10" s="59">
        <f t="shared" si="10"/>
        <v>3326</v>
      </c>
      <c r="NP10" s="58">
        <f t="shared" si="136"/>
        <v>1.1379109788224024</v>
      </c>
      <c r="NQ10" s="59">
        <f t="shared" si="137"/>
        <v>75819</v>
      </c>
      <c r="NR10" s="59">
        <f t="shared" si="11"/>
        <v>65772</v>
      </c>
      <c r="NS10" s="59">
        <f t="shared" si="11"/>
        <v>10047</v>
      </c>
      <c r="NT10" s="58">
        <f t="shared" si="138"/>
        <v>3.518239024543981</v>
      </c>
      <c r="NU10" s="58"/>
    </row>
  </sheetData>
  <mergeCells count="78">
    <mergeCell ref="BY5:CC5"/>
    <mergeCell ref="CD5:CH5"/>
    <mergeCell ref="CI5:CM5"/>
    <mergeCell ref="BO5:BS5"/>
    <mergeCell ref="BT5:BX5"/>
    <mergeCell ref="BJ5:BN5"/>
    <mergeCell ref="V5:Z5"/>
    <mergeCell ref="AA5:AE5"/>
    <mergeCell ref="AF5:AJ5"/>
    <mergeCell ref="AK5:AO5"/>
    <mergeCell ref="AP5:AT5"/>
    <mergeCell ref="AU5:AY5"/>
    <mergeCell ref="AZ5:BD5"/>
    <mergeCell ref="BE5:BI5"/>
    <mergeCell ref="C5:F5"/>
    <mergeCell ref="G5:K5"/>
    <mergeCell ref="L5:P5"/>
    <mergeCell ref="Q5:U5"/>
    <mergeCell ref="B5:B6"/>
    <mergeCell ref="FK5:FO5"/>
    <mergeCell ref="CN5:CR5"/>
    <mergeCell ref="CS5:CW5"/>
    <mergeCell ref="CX5:DB5"/>
    <mergeCell ref="DC5:DG5"/>
    <mergeCell ref="DH5:DL5"/>
    <mergeCell ref="FF5:FJ5"/>
    <mergeCell ref="DM5:DQ5"/>
    <mergeCell ref="DR5:DV5"/>
    <mergeCell ref="DW5:EA5"/>
    <mergeCell ref="EB5:EF5"/>
    <mergeCell ref="EG5:EK5"/>
    <mergeCell ref="EL5:EP5"/>
    <mergeCell ref="EQ5:EU5"/>
    <mergeCell ref="EV5:EZ5"/>
    <mergeCell ref="FA5:FE5"/>
    <mergeCell ref="JQ5:JU5"/>
    <mergeCell ref="IH5:IL5"/>
    <mergeCell ref="IM5:IQ5"/>
    <mergeCell ref="FU5:FY5"/>
    <mergeCell ref="FZ5:GD5"/>
    <mergeCell ref="IR5:IV5"/>
    <mergeCell ref="GE5:GI5"/>
    <mergeCell ref="GJ5:GN5"/>
    <mergeCell ref="GO5:GS5"/>
    <mergeCell ref="GT5:GX5"/>
    <mergeCell ref="GY5:HC5"/>
    <mergeCell ref="HD5:HH5"/>
    <mergeCell ref="HI5:HM5"/>
    <mergeCell ref="HN5:HR5"/>
    <mergeCell ref="HS5:HW5"/>
    <mergeCell ref="HX5:IB5"/>
    <mergeCell ref="FP5:FT5"/>
    <mergeCell ref="IW5:JA5"/>
    <mergeCell ref="JB5:JF5"/>
    <mergeCell ref="JG5:JK5"/>
    <mergeCell ref="JL5:JP5"/>
    <mergeCell ref="IC5:IG5"/>
    <mergeCell ref="JV5:JZ5"/>
    <mergeCell ref="KA5:KE5"/>
    <mergeCell ref="KF5:KJ5"/>
    <mergeCell ref="KK5:KO5"/>
    <mergeCell ref="KU5:KY5"/>
    <mergeCell ref="KZ5:LD5"/>
    <mergeCell ref="MD5:MH5"/>
    <mergeCell ref="KP5:KT5"/>
    <mergeCell ref="LO5:LS5"/>
    <mergeCell ref="LJ5:LN5"/>
    <mergeCell ref="MI5:MM5"/>
    <mergeCell ref="LY5:MC5"/>
    <mergeCell ref="LT5:LX5"/>
    <mergeCell ref="LE5:LI5"/>
    <mergeCell ref="MN5:MR5"/>
    <mergeCell ref="NC5:NG5"/>
    <mergeCell ref="NM5:NP5"/>
    <mergeCell ref="NQ5:NT5"/>
    <mergeCell ref="MX5:NB5"/>
    <mergeCell ref="MS5:MW5"/>
    <mergeCell ref="NH5:NL5"/>
  </mergeCells>
  <printOptions horizontalCentered="1" verticalCentered="1"/>
  <pageMargins left="0" right="0" top="0" bottom="0" header="0.19" footer="0.18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Y10"/>
  <sheetViews>
    <sheetView showGridLines="0" zoomScaleNormal="10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ColWidth="9.140625" defaultRowHeight="16.5" customHeight="1"/>
  <cols>
    <col min="1" max="1" width="0.7109375" style="21" customWidth="1"/>
    <col min="2" max="2" width="51.7109375" style="21" customWidth="1"/>
    <col min="3" max="5" width="16.140625" style="21" customWidth="1"/>
    <col min="6" max="6" width="16.7109375" style="21" customWidth="1"/>
    <col min="7" max="10" width="16.140625" style="21" customWidth="1"/>
    <col min="11" max="11" width="16.140625" style="44" customWidth="1"/>
    <col min="12" max="235" width="16.140625" style="21" customWidth="1"/>
    <col min="236" max="236" width="17.85546875" style="21" customWidth="1"/>
    <col min="237" max="251" width="16.140625" style="21" customWidth="1"/>
    <col min="252" max="252" width="11.28515625" style="21" customWidth="1"/>
    <col min="253" max="254" width="10.140625" style="21" customWidth="1"/>
    <col min="255" max="255" width="8.42578125" style="21" bestFit="1" customWidth="1"/>
    <col min="256" max="256" width="12.5703125" style="21" customWidth="1"/>
    <col min="257" max="257" width="11.28515625" style="21" customWidth="1"/>
    <col min="258" max="259" width="10.140625" style="21" customWidth="1"/>
    <col min="260" max="260" width="8.42578125" style="21" bestFit="1" customWidth="1"/>
    <col min="261" max="261" width="12.5703125" style="21" customWidth="1"/>
    <col min="262" max="262" width="11.28515625" style="21" customWidth="1"/>
    <col min="263" max="264" width="10.140625" style="21" customWidth="1"/>
    <col min="265" max="265" width="8.42578125" style="21" bestFit="1" customWidth="1"/>
    <col min="266" max="266" width="12.5703125" style="21" customWidth="1"/>
    <col min="267" max="267" width="11.28515625" style="21" customWidth="1"/>
    <col min="268" max="269" width="10.140625" style="21" customWidth="1"/>
    <col min="270" max="270" width="8.42578125" style="21" bestFit="1" customWidth="1"/>
    <col min="271" max="271" width="12.5703125" style="21" customWidth="1"/>
    <col min="272" max="272" width="11.28515625" style="21" customWidth="1"/>
    <col min="273" max="274" width="10.140625" style="21" customWidth="1"/>
    <col min="275" max="275" width="8.42578125" style="21" bestFit="1" customWidth="1"/>
    <col min="276" max="276" width="12.5703125" style="21" customWidth="1"/>
    <col min="277" max="277" width="11.28515625" style="21" customWidth="1"/>
    <col min="278" max="279" width="10.140625" style="21" customWidth="1"/>
    <col min="280" max="280" width="8.42578125" style="21" bestFit="1" customWidth="1"/>
    <col min="281" max="281" width="12.5703125" style="21" customWidth="1"/>
    <col min="282" max="282" width="11.28515625" style="21" customWidth="1"/>
    <col min="283" max="284" width="10.140625" style="21" customWidth="1"/>
    <col min="285" max="285" width="8.42578125" style="21" bestFit="1" customWidth="1"/>
    <col min="286" max="286" width="12.5703125" style="21" customWidth="1"/>
    <col min="287" max="287" width="11.28515625" style="21" customWidth="1"/>
    <col min="288" max="289" width="10.140625" style="21" customWidth="1"/>
    <col min="290" max="290" width="8.42578125" style="21" bestFit="1" customWidth="1"/>
    <col min="291" max="291" width="12.5703125" style="21" customWidth="1"/>
    <col min="292" max="301" width="16.140625" style="21" customWidth="1"/>
    <col min="302" max="312" width="16.5703125" style="21" customWidth="1"/>
    <col min="313" max="316" width="16.5703125" style="21" hidden="1" customWidth="1"/>
    <col min="317" max="317" width="16.5703125" style="21" customWidth="1"/>
    <col min="318" max="321" width="16.5703125" style="21" hidden="1" customWidth="1"/>
    <col min="322" max="322" width="16.5703125" style="21" customWidth="1"/>
    <col min="323" max="326" width="16.5703125" style="21" hidden="1" customWidth="1"/>
    <col min="327" max="327" width="16.5703125" style="21" customWidth="1"/>
    <col min="328" max="331" width="16.5703125" style="21" hidden="1" customWidth="1"/>
    <col min="332" max="332" width="16.5703125" style="21" customWidth="1"/>
    <col min="333" max="336" width="16.5703125" style="21" hidden="1" customWidth="1"/>
    <col min="337" max="337" width="16.5703125" style="21" customWidth="1"/>
    <col min="338" max="341" width="16.5703125" style="21" hidden="1" customWidth="1"/>
    <col min="342" max="342" width="16.5703125" style="21" customWidth="1"/>
    <col min="343" max="346" width="16.5703125" style="21" hidden="1" customWidth="1"/>
    <col min="347" max="347" width="16.5703125" style="21" customWidth="1"/>
    <col min="348" max="351" width="16.5703125" style="21" hidden="1" customWidth="1"/>
    <col min="352" max="352" width="16.5703125" style="21" customWidth="1"/>
    <col min="353" max="356" width="16.5703125" style="21" hidden="1" customWidth="1"/>
    <col min="357" max="357" width="16.5703125" style="21" customWidth="1"/>
    <col min="358" max="361" width="16.5703125" style="21" hidden="1" customWidth="1"/>
    <col min="362" max="362" width="16.5703125" style="21" customWidth="1"/>
    <col min="363" max="366" width="16.5703125" style="21" hidden="1" customWidth="1"/>
    <col min="367" max="367" width="16.5703125" style="21" customWidth="1"/>
    <col min="368" max="371" width="16.5703125" style="21" hidden="1" customWidth="1"/>
    <col min="372" max="384" width="16.5703125" style="21" customWidth="1"/>
    <col min="385" max="385" width="0.7109375" style="21" customWidth="1"/>
    <col min="386" max="396" width="13.28515625" style="21" bestFit="1" customWidth="1"/>
    <col min="397" max="16384" width="9.140625" style="21"/>
  </cols>
  <sheetData>
    <row r="1" spans="1:389" ht="8.25" customHeight="1"/>
    <row r="2" spans="1:389" ht="15.75" customHeight="1">
      <c r="B2" s="22" t="s">
        <v>132</v>
      </c>
      <c r="FT2" s="26"/>
    </row>
    <row r="3" spans="1:389" ht="15" customHeight="1">
      <c r="B3" s="29"/>
      <c r="C3" s="29"/>
      <c r="D3" s="29"/>
      <c r="E3" s="29"/>
      <c r="F3" s="29"/>
      <c r="G3" s="29"/>
      <c r="H3" s="29"/>
      <c r="I3" s="29"/>
      <c r="L3" s="29"/>
      <c r="M3" s="29"/>
      <c r="N3" s="29"/>
      <c r="Q3" s="29"/>
      <c r="R3" s="29"/>
      <c r="S3" s="29"/>
      <c r="V3" s="29"/>
      <c r="W3" s="29"/>
      <c r="X3" s="29"/>
      <c r="AA3" s="29"/>
      <c r="AB3" s="29"/>
      <c r="AC3" s="29"/>
      <c r="AD3" s="29"/>
      <c r="AE3" s="29"/>
      <c r="AF3" s="29"/>
      <c r="AG3" s="29"/>
      <c r="AH3" s="29"/>
      <c r="AK3" s="29"/>
      <c r="AL3" s="29"/>
      <c r="AM3" s="29"/>
      <c r="AN3" s="29"/>
      <c r="AO3" s="29"/>
      <c r="AP3" s="29"/>
      <c r="AQ3" s="29"/>
      <c r="AR3" s="29"/>
      <c r="AU3" s="29"/>
      <c r="AV3" s="29"/>
      <c r="AW3" s="29"/>
      <c r="AZ3" s="29"/>
      <c r="BA3" s="29"/>
      <c r="BB3" s="29"/>
      <c r="BE3" s="29"/>
      <c r="BF3" s="29"/>
      <c r="BG3" s="29"/>
      <c r="BJ3" s="29"/>
      <c r="BK3" s="29"/>
      <c r="BL3" s="30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C3" s="29"/>
      <c r="DD3" s="29"/>
      <c r="DE3" s="29"/>
      <c r="DH3" s="29"/>
      <c r="DI3" s="29"/>
      <c r="DJ3" s="29"/>
      <c r="DM3" s="29"/>
      <c r="DN3" s="29"/>
      <c r="DO3" s="29"/>
      <c r="DR3" s="29"/>
      <c r="DS3" s="29"/>
      <c r="DT3" s="29"/>
      <c r="DW3" s="29"/>
      <c r="DX3" s="29"/>
      <c r="DY3" s="29"/>
      <c r="EB3" s="29"/>
      <c r="EC3" s="29"/>
      <c r="ED3" s="29"/>
      <c r="EG3" s="29"/>
      <c r="EH3" s="29"/>
      <c r="EI3" s="29"/>
      <c r="EL3" s="29"/>
      <c r="EM3" s="29"/>
      <c r="EN3" s="29"/>
      <c r="EQ3" s="29"/>
      <c r="ER3" s="29"/>
      <c r="ES3" s="29"/>
      <c r="EV3" s="29"/>
      <c r="EW3" s="29"/>
      <c r="EX3" s="29"/>
      <c r="FA3" s="29"/>
      <c r="FB3" s="29"/>
      <c r="FC3" s="29"/>
      <c r="FF3" s="29"/>
      <c r="FG3" s="29"/>
      <c r="FH3" s="29"/>
      <c r="FK3" s="29"/>
      <c r="FL3" s="29"/>
      <c r="FM3" s="29"/>
      <c r="FP3" s="29"/>
      <c r="FQ3" s="29"/>
      <c r="FR3" s="29"/>
      <c r="FU3" s="29"/>
      <c r="FV3" s="29"/>
      <c r="FW3" s="29"/>
      <c r="FZ3" s="29"/>
      <c r="GA3" s="29"/>
      <c r="GB3" s="29"/>
      <c r="GE3" s="29"/>
      <c r="GF3" s="29"/>
      <c r="GG3" s="29"/>
      <c r="GJ3" s="29"/>
      <c r="GK3" s="29"/>
      <c r="GL3" s="29"/>
      <c r="GO3" s="29"/>
      <c r="GP3" s="29"/>
      <c r="GQ3" s="29"/>
      <c r="GT3" s="29"/>
      <c r="GU3" s="29"/>
      <c r="GV3" s="29"/>
      <c r="GY3" s="29"/>
      <c r="GZ3" s="29"/>
      <c r="HA3" s="29"/>
      <c r="HD3" s="29"/>
      <c r="HE3" s="29"/>
      <c r="HF3" s="29"/>
      <c r="HI3" s="29"/>
      <c r="HJ3" s="29"/>
      <c r="HK3" s="29"/>
      <c r="HN3" s="29"/>
      <c r="HO3" s="29"/>
      <c r="HP3" s="29"/>
      <c r="HS3" s="29"/>
      <c r="HT3" s="29"/>
      <c r="HU3" s="29"/>
      <c r="HX3" s="29"/>
      <c r="HY3" s="29"/>
      <c r="HZ3" s="29"/>
      <c r="IC3" s="29"/>
      <c r="ID3" s="29"/>
      <c r="IE3" s="29"/>
      <c r="IH3" s="29"/>
      <c r="II3" s="29"/>
      <c r="IJ3" s="29"/>
      <c r="IM3" s="29"/>
      <c r="IN3" s="29"/>
      <c r="IO3" s="29"/>
      <c r="IR3" s="29"/>
      <c r="IS3" s="29"/>
      <c r="IT3" s="29"/>
      <c r="IW3" s="29"/>
      <c r="IX3" s="29"/>
      <c r="IY3" s="29"/>
      <c r="JB3" s="29"/>
      <c r="JC3" s="29"/>
      <c r="JD3" s="29"/>
      <c r="JG3" s="29"/>
      <c r="JH3" s="29"/>
      <c r="JI3" s="29"/>
      <c r="JL3" s="29"/>
      <c r="JM3" s="29"/>
      <c r="JN3" s="29"/>
      <c r="JQ3" s="29"/>
      <c r="JR3" s="29"/>
      <c r="JS3" s="29"/>
      <c r="JV3" s="29"/>
      <c r="JW3" s="29"/>
      <c r="JX3" s="29"/>
      <c r="KA3" s="29"/>
      <c r="KB3" s="29"/>
      <c r="KC3" s="29"/>
      <c r="KF3" s="29"/>
      <c r="KG3" s="29"/>
      <c r="KH3" s="29"/>
      <c r="KK3" s="29"/>
      <c r="KL3" s="29"/>
      <c r="KM3" s="29"/>
      <c r="KP3" s="29"/>
      <c r="KQ3" s="29"/>
      <c r="KR3" s="29"/>
      <c r="KU3" s="29"/>
      <c r="KV3" s="29"/>
      <c r="KW3" s="29"/>
      <c r="KZ3" s="29"/>
      <c r="LA3" s="29"/>
      <c r="LB3" s="29"/>
      <c r="LE3" s="29"/>
      <c r="LF3" s="29"/>
      <c r="LG3" s="29"/>
      <c r="LJ3" s="29"/>
      <c r="LK3" s="29"/>
      <c r="LL3" s="29"/>
      <c r="LO3" s="29"/>
      <c r="LP3" s="29"/>
      <c r="LQ3" s="29"/>
      <c r="LT3" s="29"/>
      <c r="LU3" s="29"/>
      <c r="LV3" s="29"/>
      <c r="LY3" s="29"/>
      <c r="LZ3" s="29"/>
      <c r="MA3" s="29"/>
      <c r="MD3" s="29"/>
      <c r="ME3" s="29"/>
      <c r="MF3" s="29"/>
      <c r="MI3" s="29"/>
      <c r="MJ3" s="29"/>
      <c r="MK3" s="29"/>
      <c r="MN3" s="29"/>
      <c r="MO3" s="29"/>
      <c r="MP3" s="29"/>
      <c r="MS3" s="29"/>
      <c r="MT3" s="29"/>
      <c r="MU3" s="29"/>
      <c r="MX3" s="29"/>
      <c r="MY3" s="29"/>
      <c r="MZ3" s="29"/>
    </row>
    <row r="4" spans="1:389" ht="3.95" customHeight="1">
      <c r="A4" s="23"/>
      <c r="B4" s="24"/>
      <c r="C4" s="24"/>
      <c r="D4" s="24"/>
      <c r="E4" s="24"/>
      <c r="F4" s="24"/>
      <c r="G4" s="24"/>
      <c r="H4" s="24"/>
      <c r="I4" s="24"/>
      <c r="J4" s="23"/>
      <c r="K4" s="45"/>
      <c r="L4" s="24"/>
      <c r="M4" s="24"/>
      <c r="N4" s="24"/>
      <c r="O4" s="23"/>
      <c r="P4" s="23"/>
      <c r="Q4" s="24"/>
      <c r="R4" s="24"/>
      <c r="S4" s="24"/>
      <c r="T4" s="23"/>
      <c r="U4" s="23"/>
      <c r="V4" s="24"/>
      <c r="W4" s="24"/>
      <c r="X4" s="24"/>
      <c r="Y4" s="23"/>
      <c r="Z4" s="23"/>
      <c r="AA4" s="24"/>
      <c r="AB4" s="24"/>
      <c r="AC4" s="24"/>
      <c r="AD4" s="24"/>
      <c r="AE4" s="24"/>
      <c r="AF4" s="24"/>
      <c r="AG4" s="24"/>
      <c r="AH4" s="24"/>
      <c r="AI4" s="23"/>
      <c r="AJ4" s="23"/>
      <c r="AK4" s="24"/>
      <c r="AL4" s="24"/>
      <c r="AM4" s="24"/>
      <c r="AN4" s="24"/>
      <c r="AO4" s="24"/>
      <c r="AP4" s="24"/>
      <c r="AQ4" s="24"/>
      <c r="AR4" s="24"/>
      <c r="AS4" s="23"/>
      <c r="AT4" s="23"/>
      <c r="AU4" s="24"/>
      <c r="AV4" s="24"/>
      <c r="AW4" s="24"/>
      <c r="AX4" s="23"/>
      <c r="AY4" s="23"/>
      <c r="AZ4" s="24"/>
      <c r="BA4" s="24"/>
      <c r="BB4" s="24"/>
      <c r="BC4" s="23"/>
      <c r="BD4" s="23"/>
      <c r="BE4" s="24"/>
      <c r="BF4" s="24"/>
      <c r="BG4" s="24"/>
      <c r="BH4" s="23"/>
      <c r="BI4" s="23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3"/>
      <c r="DB4" s="23"/>
      <c r="DC4" s="24"/>
      <c r="DD4" s="24"/>
      <c r="DE4" s="24"/>
      <c r="DF4" s="23"/>
      <c r="DG4" s="23"/>
      <c r="DH4" s="24"/>
      <c r="DI4" s="24"/>
      <c r="DJ4" s="24"/>
      <c r="DK4" s="23"/>
      <c r="DL4" s="23"/>
      <c r="DM4" s="24"/>
      <c r="DN4" s="24"/>
      <c r="DO4" s="24"/>
      <c r="DP4" s="23"/>
      <c r="DQ4" s="23"/>
      <c r="DR4" s="24"/>
      <c r="DS4" s="24"/>
      <c r="DT4" s="24"/>
      <c r="DU4" s="23"/>
      <c r="DV4" s="23"/>
      <c r="DW4" s="24"/>
      <c r="DX4" s="24"/>
      <c r="DY4" s="24"/>
      <c r="DZ4" s="23"/>
      <c r="EA4" s="23"/>
      <c r="EB4" s="24"/>
      <c r="EC4" s="24"/>
      <c r="ED4" s="24"/>
      <c r="EE4" s="23"/>
      <c r="EF4" s="23"/>
      <c r="EG4" s="24"/>
      <c r="EH4" s="24"/>
      <c r="EI4" s="24"/>
      <c r="EJ4" s="23"/>
      <c r="EK4" s="23"/>
      <c r="EL4" s="24"/>
      <c r="EM4" s="24"/>
      <c r="EN4" s="24"/>
      <c r="EO4" s="23"/>
      <c r="EP4" s="23"/>
      <c r="EQ4" s="24"/>
      <c r="ER4" s="24"/>
      <c r="ES4" s="24"/>
      <c r="ET4" s="23"/>
      <c r="EU4" s="23"/>
      <c r="EV4" s="24"/>
      <c r="EW4" s="24"/>
      <c r="EX4" s="24"/>
      <c r="EY4" s="23"/>
      <c r="EZ4" s="23"/>
      <c r="FA4" s="24"/>
      <c r="FB4" s="24"/>
      <c r="FC4" s="24"/>
      <c r="FD4" s="23"/>
      <c r="FE4" s="23"/>
      <c r="FF4" s="24"/>
      <c r="FG4" s="24"/>
      <c r="FH4" s="24"/>
      <c r="FI4" s="23"/>
      <c r="FJ4" s="23"/>
      <c r="FK4" s="138"/>
      <c r="FL4" s="139"/>
      <c r="FM4" s="139"/>
      <c r="FN4" s="139"/>
      <c r="FO4" s="139"/>
      <c r="FP4" s="24"/>
      <c r="FQ4" s="24"/>
      <c r="FR4" s="24"/>
      <c r="FS4" s="23"/>
      <c r="FT4" s="23"/>
      <c r="FU4" s="24"/>
      <c r="FV4" s="24"/>
      <c r="FW4" s="24"/>
      <c r="FX4" s="23"/>
      <c r="FY4" s="23"/>
      <c r="FZ4" s="24"/>
      <c r="GA4" s="24"/>
      <c r="GB4" s="24"/>
      <c r="GC4" s="23"/>
      <c r="GD4" s="23"/>
      <c r="GE4" s="24"/>
      <c r="GF4" s="24"/>
      <c r="GG4" s="24"/>
      <c r="GH4" s="23"/>
      <c r="GI4" s="23"/>
      <c r="GJ4" s="24"/>
      <c r="GK4" s="24"/>
      <c r="GL4" s="24"/>
      <c r="GM4" s="23"/>
      <c r="GN4" s="23"/>
      <c r="GO4" s="24"/>
      <c r="GP4" s="24"/>
      <c r="GQ4" s="24"/>
      <c r="GR4" s="23"/>
      <c r="GS4" s="23"/>
      <c r="GT4" s="24"/>
      <c r="GU4" s="24"/>
      <c r="GV4" s="24"/>
      <c r="GW4" s="23"/>
      <c r="GX4" s="23"/>
      <c r="GY4" s="24"/>
      <c r="GZ4" s="24"/>
      <c r="HA4" s="24"/>
      <c r="HB4" s="23"/>
      <c r="HC4" s="23"/>
      <c r="HD4" s="24"/>
      <c r="HE4" s="24"/>
      <c r="HF4" s="24"/>
      <c r="HG4" s="23"/>
      <c r="HH4" s="23"/>
      <c r="HI4" s="24"/>
      <c r="HJ4" s="24"/>
      <c r="HK4" s="24"/>
      <c r="HL4" s="23"/>
      <c r="HM4" s="23"/>
      <c r="HN4" s="24"/>
      <c r="HO4" s="24"/>
      <c r="HP4" s="24"/>
      <c r="HQ4" s="23"/>
      <c r="HR4" s="23"/>
      <c r="HS4" s="24"/>
      <c r="HT4" s="24"/>
      <c r="HU4" s="24"/>
      <c r="HV4" s="23"/>
      <c r="HW4" s="23"/>
      <c r="HX4" s="24"/>
      <c r="HY4" s="24"/>
      <c r="HZ4" s="24"/>
      <c r="IA4" s="23"/>
      <c r="IB4" s="23"/>
      <c r="IC4" s="24"/>
      <c r="ID4" s="24"/>
      <c r="IE4" s="24"/>
      <c r="IF4" s="23"/>
      <c r="IG4" s="23"/>
      <c r="IH4" s="24"/>
      <c r="II4" s="24"/>
      <c r="IJ4" s="24"/>
      <c r="IK4" s="23"/>
      <c r="IL4" s="23"/>
      <c r="IM4" s="24"/>
      <c r="IN4" s="24"/>
      <c r="IO4" s="24"/>
      <c r="IP4" s="23"/>
      <c r="IQ4" s="23"/>
      <c r="IR4" s="24"/>
      <c r="IS4" s="24"/>
      <c r="IT4" s="24"/>
      <c r="IU4" s="23"/>
      <c r="IV4" s="23"/>
      <c r="IW4" s="24"/>
      <c r="IX4" s="24"/>
      <c r="IY4" s="24"/>
      <c r="IZ4" s="23"/>
      <c r="JA4" s="23"/>
      <c r="JB4" s="24"/>
      <c r="JC4" s="24"/>
      <c r="JD4" s="24"/>
      <c r="JE4" s="23"/>
      <c r="JF4" s="23"/>
      <c r="JG4" s="24"/>
      <c r="JH4" s="24"/>
      <c r="JI4" s="24"/>
      <c r="JJ4" s="23"/>
      <c r="JK4" s="23"/>
      <c r="JL4" s="24"/>
      <c r="JM4" s="24"/>
      <c r="JN4" s="24"/>
      <c r="JO4" s="23"/>
      <c r="JP4" s="23"/>
      <c r="JQ4" s="24"/>
      <c r="JR4" s="24"/>
      <c r="JS4" s="24"/>
      <c r="JT4" s="23"/>
      <c r="JU4" s="23"/>
      <c r="JV4" s="24"/>
      <c r="JW4" s="24"/>
      <c r="JX4" s="24"/>
      <c r="JY4" s="23"/>
      <c r="JZ4" s="23"/>
      <c r="KA4" s="24"/>
      <c r="KB4" s="24"/>
      <c r="KC4" s="24"/>
      <c r="KD4" s="23"/>
      <c r="KE4" s="23"/>
      <c r="KF4" s="24"/>
      <c r="KG4" s="24"/>
      <c r="KH4" s="24"/>
      <c r="KI4" s="23"/>
      <c r="KJ4" s="23"/>
      <c r="KK4" s="24"/>
      <c r="KL4" s="24"/>
      <c r="KM4" s="24"/>
      <c r="KN4" s="23"/>
      <c r="KO4" s="23"/>
      <c r="KP4" s="24"/>
      <c r="KQ4" s="24"/>
      <c r="KR4" s="24"/>
      <c r="KS4" s="23"/>
      <c r="KT4" s="23"/>
      <c r="KU4" s="24"/>
      <c r="KV4" s="24"/>
      <c r="KW4" s="24"/>
      <c r="KX4" s="23"/>
      <c r="KY4" s="23"/>
      <c r="KZ4" s="24"/>
      <c r="LA4" s="24"/>
      <c r="LB4" s="24"/>
      <c r="LC4" s="23"/>
      <c r="LD4" s="23"/>
      <c r="LE4" s="24"/>
      <c r="LF4" s="24"/>
      <c r="LG4" s="24"/>
      <c r="LH4" s="23"/>
      <c r="LI4" s="23"/>
      <c r="LJ4" s="24"/>
      <c r="LK4" s="24"/>
      <c r="LL4" s="24"/>
      <c r="LM4" s="23"/>
      <c r="LN4" s="23"/>
      <c r="LO4" s="24"/>
      <c r="LP4" s="24"/>
      <c r="LQ4" s="24"/>
      <c r="LR4" s="23"/>
      <c r="LS4" s="23"/>
      <c r="LT4" s="24"/>
      <c r="LU4" s="24"/>
      <c r="LV4" s="24"/>
      <c r="LW4" s="23"/>
      <c r="LX4" s="23"/>
      <c r="LY4" s="24"/>
      <c r="LZ4" s="24"/>
      <c r="MA4" s="24"/>
      <c r="MB4" s="23"/>
      <c r="MC4" s="23"/>
      <c r="MD4" s="24"/>
      <c r="ME4" s="24"/>
      <c r="MF4" s="24"/>
      <c r="MG4" s="23"/>
      <c r="MH4" s="23"/>
      <c r="MI4" s="24"/>
      <c r="MJ4" s="24"/>
      <c r="MK4" s="24"/>
      <c r="ML4" s="23"/>
      <c r="MM4" s="23"/>
      <c r="MN4" s="24"/>
      <c r="MO4" s="24"/>
      <c r="MP4" s="24"/>
      <c r="MQ4" s="23"/>
      <c r="MR4" s="23"/>
      <c r="MS4" s="24"/>
      <c r="MT4" s="24"/>
      <c r="MU4" s="24"/>
      <c r="MV4" s="23"/>
      <c r="MW4" s="23"/>
      <c r="MX4" s="24"/>
      <c r="MY4" s="24"/>
      <c r="MZ4" s="24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</row>
    <row r="5" spans="1:389" ht="32.25" customHeight="1">
      <c r="A5" s="23"/>
      <c r="B5" s="140" t="s">
        <v>0</v>
      </c>
      <c r="C5" s="133" t="s">
        <v>54</v>
      </c>
      <c r="D5" s="134"/>
      <c r="E5" s="134"/>
      <c r="F5" s="135"/>
      <c r="G5" s="133" t="s">
        <v>55</v>
      </c>
      <c r="H5" s="134"/>
      <c r="I5" s="134"/>
      <c r="J5" s="134"/>
      <c r="K5" s="135"/>
      <c r="L5" s="133" t="s">
        <v>56</v>
      </c>
      <c r="M5" s="134"/>
      <c r="N5" s="134"/>
      <c r="O5" s="134"/>
      <c r="P5" s="135"/>
      <c r="Q5" s="133" t="s">
        <v>57</v>
      </c>
      <c r="R5" s="134"/>
      <c r="S5" s="134"/>
      <c r="T5" s="134"/>
      <c r="U5" s="135"/>
      <c r="V5" s="133" t="s">
        <v>58</v>
      </c>
      <c r="W5" s="134"/>
      <c r="X5" s="134"/>
      <c r="Y5" s="134"/>
      <c r="Z5" s="135"/>
      <c r="AA5" s="133" t="s">
        <v>59</v>
      </c>
      <c r="AB5" s="134"/>
      <c r="AC5" s="134"/>
      <c r="AD5" s="134"/>
      <c r="AE5" s="135"/>
      <c r="AF5" s="133" t="s">
        <v>60</v>
      </c>
      <c r="AG5" s="134"/>
      <c r="AH5" s="134"/>
      <c r="AI5" s="134"/>
      <c r="AJ5" s="135"/>
      <c r="AK5" s="133" t="s">
        <v>61</v>
      </c>
      <c r="AL5" s="134"/>
      <c r="AM5" s="134"/>
      <c r="AN5" s="134"/>
      <c r="AO5" s="135"/>
      <c r="AP5" s="133" t="s">
        <v>62</v>
      </c>
      <c r="AQ5" s="134"/>
      <c r="AR5" s="134"/>
      <c r="AS5" s="134"/>
      <c r="AT5" s="135"/>
      <c r="AU5" s="133" t="s">
        <v>63</v>
      </c>
      <c r="AV5" s="134"/>
      <c r="AW5" s="134"/>
      <c r="AX5" s="134"/>
      <c r="AY5" s="135"/>
      <c r="AZ5" s="133" t="s">
        <v>64</v>
      </c>
      <c r="BA5" s="134"/>
      <c r="BB5" s="134"/>
      <c r="BC5" s="134"/>
      <c r="BD5" s="135"/>
      <c r="BE5" s="133" t="s">
        <v>65</v>
      </c>
      <c r="BF5" s="134"/>
      <c r="BG5" s="134"/>
      <c r="BH5" s="134"/>
      <c r="BI5" s="135"/>
      <c r="BJ5" s="133" t="s">
        <v>66</v>
      </c>
      <c r="BK5" s="134"/>
      <c r="BL5" s="134"/>
      <c r="BM5" s="134"/>
      <c r="BN5" s="135"/>
      <c r="BO5" s="133" t="s">
        <v>67</v>
      </c>
      <c r="BP5" s="134"/>
      <c r="BQ5" s="134"/>
      <c r="BR5" s="134"/>
      <c r="BS5" s="135"/>
      <c r="BT5" s="133" t="s">
        <v>68</v>
      </c>
      <c r="BU5" s="134"/>
      <c r="BV5" s="134"/>
      <c r="BW5" s="134"/>
      <c r="BX5" s="135"/>
      <c r="BY5" s="133" t="s">
        <v>69</v>
      </c>
      <c r="BZ5" s="134"/>
      <c r="CA5" s="134"/>
      <c r="CB5" s="134"/>
      <c r="CC5" s="135"/>
      <c r="CD5" s="133" t="s">
        <v>70</v>
      </c>
      <c r="CE5" s="134"/>
      <c r="CF5" s="134"/>
      <c r="CG5" s="134"/>
      <c r="CH5" s="135"/>
      <c r="CI5" s="133" t="s">
        <v>71</v>
      </c>
      <c r="CJ5" s="134"/>
      <c r="CK5" s="134"/>
      <c r="CL5" s="134"/>
      <c r="CM5" s="135"/>
      <c r="CN5" s="133" t="s">
        <v>72</v>
      </c>
      <c r="CO5" s="134"/>
      <c r="CP5" s="134"/>
      <c r="CQ5" s="134"/>
      <c r="CR5" s="135"/>
      <c r="CS5" s="133" t="s">
        <v>73</v>
      </c>
      <c r="CT5" s="134"/>
      <c r="CU5" s="134"/>
      <c r="CV5" s="134"/>
      <c r="CW5" s="135"/>
      <c r="CX5" s="133" t="s">
        <v>74</v>
      </c>
      <c r="CY5" s="134"/>
      <c r="CZ5" s="134"/>
      <c r="DA5" s="134"/>
      <c r="DB5" s="135"/>
      <c r="DC5" s="133" t="s">
        <v>75</v>
      </c>
      <c r="DD5" s="134"/>
      <c r="DE5" s="134"/>
      <c r="DF5" s="134"/>
      <c r="DG5" s="135"/>
      <c r="DH5" s="133" t="s">
        <v>76</v>
      </c>
      <c r="DI5" s="134"/>
      <c r="DJ5" s="134"/>
      <c r="DK5" s="134"/>
      <c r="DL5" s="135"/>
      <c r="DM5" s="133" t="s">
        <v>77</v>
      </c>
      <c r="DN5" s="134"/>
      <c r="DO5" s="134"/>
      <c r="DP5" s="134"/>
      <c r="DQ5" s="135"/>
      <c r="DR5" s="133" t="s">
        <v>78</v>
      </c>
      <c r="DS5" s="134"/>
      <c r="DT5" s="134"/>
      <c r="DU5" s="134"/>
      <c r="DV5" s="135"/>
      <c r="DW5" s="133" t="s">
        <v>79</v>
      </c>
      <c r="DX5" s="134"/>
      <c r="DY5" s="134"/>
      <c r="DZ5" s="134"/>
      <c r="EA5" s="135"/>
      <c r="EB5" s="133" t="s">
        <v>80</v>
      </c>
      <c r="EC5" s="134"/>
      <c r="ED5" s="134"/>
      <c r="EE5" s="134"/>
      <c r="EF5" s="135"/>
      <c r="EG5" s="133" t="s">
        <v>81</v>
      </c>
      <c r="EH5" s="134"/>
      <c r="EI5" s="134"/>
      <c r="EJ5" s="134"/>
      <c r="EK5" s="135"/>
      <c r="EL5" s="133" t="s">
        <v>82</v>
      </c>
      <c r="EM5" s="134"/>
      <c r="EN5" s="134"/>
      <c r="EO5" s="134"/>
      <c r="EP5" s="135"/>
      <c r="EQ5" s="133" t="s">
        <v>83</v>
      </c>
      <c r="ER5" s="134"/>
      <c r="ES5" s="134"/>
      <c r="ET5" s="134"/>
      <c r="EU5" s="135"/>
      <c r="EV5" s="133" t="s">
        <v>84</v>
      </c>
      <c r="EW5" s="134"/>
      <c r="EX5" s="134"/>
      <c r="EY5" s="134"/>
      <c r="EZ5" s="135"/>
      <c r="FA5" s="133" t="s">
        <v>85</v>
      </c>
      <c r="FB5" s="134"/>
      <c r="FC5" s="134"/>
      <c r="FD5" s="134"/>
      <c r="FE5" s="135"/>
      <c r="FF5" s="133" t="s">
        <v>86</v>
      </c>
      <c r="FG5" s="134"/>
      <c r="FH5" s="134"/>
      <c r="FI5" s="134"/>
      <c r="FJ5" s="135"/>
      <c r="FK5" s="133" t="s">
        <v>87</v>
      </c>
      <c r="FL5" s="134"/>
      <c r="FM5" s="134"/>
      <c r="FN5" s="134"/>
      <c r="FO5" s="135"/>
      <c r="FP5" s="133" t="s">
        <v>88</v>
      </c>
      <c r="FQ5" s="134"/>
      <c r="FR5" s="134"/>
      <c r="FS5" s="134"/>
      <c r="FT5" s="135"/>
      <c r="FU5" s="133" t="s">
        <v>89</v>
      </c>
      <c r="FV5" s="134"/>
      <c r="FW5" s="134"/>
      <c r="FX5" s="134"/>
      <c r="FY5" s="135"/>
      <c r="FZ5" s="133" t="s">
        <v>90</v>
      </c>
      <c r="GA5" s="134"/>
      <c r="GB5" s="134"/>
      <c r="GC5" s="134"/>
      <c r="GD5" s="135"/>
      <c r="GE5" s="133" t="s">
        <v>91</v>
      </c>
      <c r="GF5" s="134"/>
      <c r="GG5" s="134"/>
      <c r="GH5" s="134"/>
      <c r="GI5" s="135"/>
      <c r="GJ5" s="133" t="s">
        <v>92</v>
      </c>
      <c r="GK5" s="134"/>
      <c r="GL5" s="134"/>
      <c r="GM5" s="134"/>
      <c r="GN5" s="135"/>
      <c r="GO5" s="133" t="s">
        <v>93</v>
      </c>
      <c r="GP5" s="134"/>
      <c r="GQ5" s="134"/>
      <c r="GR5" s="134"/>
      <c r="GS5" s="135"/>
      <c r="GT5" s="133" t="s">
        <v>94</v>
      </c>
      <c r="GU5" s="134"/>
      <c r="GV5" s="134"/>
      <c r="GW5" s="134"/>
      <c r="GX5" s="135"/>
      <c r="GY5" s="133" t="s">
        <v>95</v>
      </c>
      <c r="GZ5" s="134"/>
      <c r="HA5" s="134"/>
      <c r="HB5" s="134"/>
      <c r="HC5" s="135"/>
      <c r="HD5" s="133" t="s">
        <v>96</v>
      </c>
      <c r="HE5" s="134"/>
      <c r="HF5" s="134"/>
      <c r="HG5" s="134"/>
      <c r="HH5" s="135"/>
      <c r="HI5" s="133" t="s">
        <v>97</v>
      </c>
      <c r="HJ5" s="134"/>
      <c r="HK5" s="134"/>
      <c r="HL5" s="134"/>
      <c r="HM5" s="135"/>
      <c r="HN5" s="133" t="s">
        <v>98</v>
      </c>
      <c r="HO5" s="134"/>
      <c r="HP5" s="134"/>
      <c r="HQ5" s="134"/>
      <c r="HR5" s="135"/>
      <c r="HS5" s="133" t="s">
        <v>99</v>
      </c>
      <c r="HT5" s="134"/>
      <c r="HU5" s="134"/>
      <c r="HV5" s="134"/>
      <c r="HW5" s="135"/>
      <c r="HX5" s="133" t="s">
        <v>100</v>
      </c>
      <c r="HY5" s="134"/>
      <c r="HZ5" s="134"/>
      <c r="IA5" s="134"/>
      <c r="IB5" s="135"/>
      <c r="IC5" s="133" t="s">
        <v>101</v>
      </c>
      <c r="ID5" s="134"/>
      <c r="IE5" s="134"/>
      <c r="IF5" s="134"/>
      <c r="IG5" s="135"/>
      <c r="IH5" s="133" t="s">
        <v>102</v>
      </c>
      <c r="II5" s="134"/>
      <c r="IJ5" s="134"/>
      <c r="IK5" s="134"/>
      <c r="IL5" s="135"/>
      <c r="IM5" s="133" t="s">
        <v>103</v>
      </c>
      <c r="IN5" s="134"/>
      <c r="IO5" s="134"/>
      <c r="IP5" s="134"/>
      <c r="IQ5" s="135"/>
      <c r="IR5" s="133" t="s">
        <v>104</v>
      </c>
      <c r="IS5" s="134"/>
      <c r="IT5" s="134"/>
      <c r="IU5" s="134"/>
      <c r="IV5" s="135"/>
      <c r="IW5" s="133" t="s">
        <v>105</v>
      </c>
      <c r="IX5" s="134"/>
      <c r="IY5" s="134"/>
      <c r="IZ5" s="134"/>
      <c r="JA5" s="135"/>
      <c r="JB5" s="133" t="s">
        <v>106</v>
      </c>
      <c r="JC5" s="134"/>
      <c r="JD5" s="134"/>
      <c r="JE5" s="134"/>
      <c r="JF5" s="135"/>
      <c r="JG5" s="133" t="s">
        <v>107</v>
      </c>
      <c r="JH5" s="134"/>
      <c r="JI5" s="134"/>
      <c r="JJ5" s="134"/>
      <c r="JK5" s="135"/>
      <c r="JL5" s="133" t="s">
        <v>108</v>
      </c>
      <c r="JM5" s="134"/>
      <c r="JN5" s="134"/>
      <c r="JO5" s="134"/>
      <c r="JP5" s="135"/>
      <c r="JQ5" s="133" t="s">
        <v>109</v>
      </c>
      <c r="JR5" s="134"/>
      <c r="JS5" s="134"/>
      <c r="JT5" s="134"/>
      <c r="JU5" s="135"/>
      <c r="JV5" s="133" t="s">
        <v>110</v>
      </c>
      <c r="JW5" s="134"/>
      <c r="JX5" s="134"/>
      <c r="JY5" s="134"/>
      <c r="JZ5" s="135"/>
      <c r="KA5" s="133" t="s">
        <v>111</v>
      </c>
      <c r="KB5" s="134"/>
      <c r="KC5" s="134"/>
      <c r="KD5" s="134"/>
      <c r="KE5" s="135"/>
      <c r="KF5" s="121" t="s">
        <v>112</v>
      </c>
      <c r="KG5" s="121"/>
      <c r="KH5" s="121"/>
      <c r="KI5" s="121"/>
      <c r="KJ5" s="121"/>
      <c r="KK5" s="121" t="s">
        <v>113</v>
      </c>
      <c r="KL5" s="121"/>
      <c r="KM5" s="121"/>
      <c r="KN5" s="121"/>
      <c r="KO5" s="121"/>
      <c r="KP5" s="121" t="s">
        <v>114</v>
      </c>
      <c r="KQ5" s="121"/>
      <c r="KR5" s="121"/>
      <c r="KS5" s="121"/>
      <c r="KT5" s="121"/>
      <c r="KU5" s="121" t="s">
        <v>115</v>
      </c>
      <c r="KV5" s="121"/>
      <c r="KW5" s="121"/>
      <c r="KX5" s="121"/>
      <c r="KY5" s="121"/>
      <c r="KZ5" s="121" t="s">
        <v>116</v>
      </c>
      <c r="LA5" s="121"/>
      <c r="LB5" s="121"/>
      <c r="LC5" s="121"/>
      <c r="LD5" s="121"/>
      <c r="LE5" s="121" t="s">
        <v>117</v>
      </c>
      <c r="LF5" s="121"/>
      <c r="LG5" s="121"/>
      <c r="LH5" s="121"/>
      <c r="LI5" s="121"/>
      <c r="LJ5" s="121" t="s">
        <v>118</v>
      </c>
      <c r="LK5" s="121"/>
      <c r="LL5" s="121"/>
      <c r="LM5" s="121"/>
      <c r="LN5" s="121"/>
      <c r="LO5" s="121" t="s">
        <v>119</v>
      </c>
      <c r="LP5" s="121"/>
      <c r="LQ5" s="121"/>
      <c r="LR5" s="121"/>
      <c r="LS5" s="121"/>
      <c r="LT5" s="121" t="s">
        <v>120</v>
      </c>
      <c r="LU5" s="121"/>
      <c r="LV5" s="121"/>
      <c r="LW5" s="121"/>
      <c r="LX5" s="121"/>
      <c r="LY5" s="121" t="s">
        <v>121</v>
      </c>
      <c r="LZ5" s="121"/>
      <c r="MA5" s="121"/>
      <c r="MB5" s="121"/>
      <c r="MC5" s="121"/>
      <c r="MD5" s="121" t="s">
        <v>122</v>
      </c>
      <c r="ME5" s="121"/>
      <c r="MF5" s="121"/>
      <c r="MG5" s="121"/>
      <c r="MH5" s="121"/>
      <c r="MI5" s="121" t="s">
        <v>123</v>
      </c>
      <c r="MJ5" s="121"/>
      <c r="MK5" s="121"/>
      <c r="ML5" s="121"/>
      <c r="MM5" s="121"/>
      <c r="MN5" s="121" t="s">
        <v>124</v>
      </c>
      <c r="MO5" s="121"/>
      <c r="MP5" s="121"/>
      <c r="MQ5" s="121"/>
      <c r="MR5" s="121"/>
      <c r="MS5" s="121" t="s">
        <v>125</v>
      </c>
      <c r="MT5" s="121"/>
      <c r="MU5" s="121"/>
      <c r="MV5" s="121"/>
      <c r="MW5" s="121"/>
      <c r="MX5" s="121" t="s">
        <v>126</v>
      </c>
      <c r="MY5" s="121"/>
      <c r="MZ5" s="121"/>
      <c r="NA5" s="121"/>
      <c r="NB5" s="121"/>
      <c r="NC5" s="121" t="s">
        <v>127</v>
      </c>
      <c r="ND5" s="121"/>
      <c r="NE5" s="121"/>
      <c r="NF5" s="121"/>
      <c r="NG5" s="121"/>
      <c r="NH5" s="121" t="s">
        <v>148</v>
      </c>
      <c r="NI5" s="121"/>
      <c r="NJ5" s="121"/>
      <c r="NK5" s="121"/>
      <c r="NL5" s="121"/>
      <c r="NM5" s="129" t="s">
        <v>12</v>
      </c>
      <c r="NN5" s="130"/>
      <c r="NO5" s="130"/>
      <c r="NP5" s="131"/>
      <c r="NQ5" s="123" t="s">
        <v>149</v>
      </c>
      <c r="NR5" s="124"/>
      <c r="NS5" s="124"/>
      <c r="NT5" s="125"/>
      <c r="NU5" s="23"/>
    </row>
    <row r="6" spans="1:389" ht="32.25" customHeight="1">
      <c r="A6" s="23"/>
      <c r="B6" s="141"/>
      <c r="C6" s="49" t="s">
        <v>53</v>
      </c>
      <c r="D6" s="50" t="s">
        <v>2</v>
      </c>
      <c r="E6" s="50" t="s">
        <v>3</v>
      </c>
      <c r="F6" s="50" t="s">
        <v>4</v>
      </c>
      <c r="G6" s="49" t="s">
        <v>53</v>
      </c>
      <c r="H6" s="50" t="s">
        <v>2</v>
      </c>
      <c r="I6" s="50" t="s">
        <v>3</v>
      </c>
      <c r="J6" s="50" t="s">
        <v>4</v>
      </c>
      <c r="K6" s="51" t="s">
        <v>5</v>
      </c>
      <c r="L6" s="49" t="s">
        <v>53</v>
      </c>
      <c r="M6" s="50" t="s">
        <v>2</v>
      </c>
      <c r="N6" s="50" t="s">
        <v>3</v>
      </c>
      <c r="O6" s="50" t="s">
        <v>4</v>
      </c>
      <c r="P6" s="49" t="s">
        <v>5</v>
      </c>
      <c r="Q6" s="49" t="s">
        <v>53</v>
      </c>
      <c r="R6" s="50" t="s">
        <v>2</v>
      </c>
      <c r="S6" s="50" t="s">
        <v>3</v>
      </c>
      <c r="T6" s="50" t="s">
        <v>4</v>
      </c>
      <c r="U6" s="49" t="s">
        <v>5</v>
      </c>
      <c r="V6" s="49" t="s">
        <v>53</v>
      </c>
      <c r="W6" s="50" t="s">
        <v>2</v>
      </c>
      <c r="X6" s="50" t="s">
        <v>3</v>
      </c>
      <c r="Y6" s="50" t="s">
        <v>4</v>
      </c>
      <c r="Z6" s="49" t="s">
        <v>5</v>
      </c>
      <c r="AA6" s="49" t="s">
        <v>53</v>
      </c>
      <c r="AB6" s="50" t="s">
        <v>2</v>
      </c>
      <c r="AC6" s="50" t="s">
        <v>3</v>
      </c>
      <c r="AD6" s="50" t="s">
        <v>4</v>
      </c>
      <c r="AE6" s="49" t="s">
        <v>5</v>
      </c>
      <c r="AF6" s="49" t="s">
        <v>53</v>
      </c>
      <c r="AG6" s="50" t="s">
        <v>2</v>
      </c>
      <c r="AH6" s="50" t="s">
        <v>3</v>
      </c>
      <c r="AI6" s="50" t="s">
        <v>4</v>
      </c>
      <c r="AJ6" s="49" t="s">
        <v>5</v>
      </c>
      <c r="AK6" s="49" t="s">
        <v>53</v>
      </c>
      <c r="AL6" s="50" t="s">
        <v>2</v>
      </c>
      <c r="AM6" s="50" t="s">
        <v>3</v>
      </c>
      <c r="AN6" s="50" t="s">
        <v>4</v>
      </c>
      <c r="AO6" s="49" t="s">
        <v>5</v>
      </c>
      <c r="AP6" s="49" t="s">
        <v>53</v>
      </c>
      <c r="AQ6" s="50" t="s">
        <v>2</v>
      </c>
      <c r="AR6" s="50" t="s">
        <v>3</v>
      </c>
      <c r="AS6" s="50" t="s">
        <v>4</v>
      </c>
      <c r="AT6" s="49" t="s">
        <v>5</v>
      </c>
      <c r="AU6" s="49" t="s">
        <v>53</v>
      </c>
      <c r="AV6" s="50" t="s">
        <v>2</v>
      </c>
      <c r="AW6" s="50" t="s">
        <v>3</v>
      </c>
      <c r="AX6" s="50" t="s">
        <v>4</v>
      </c>
      <c r="AY6" s="49" t="s">
        <v>5</v>
      </c>
      <c r="AZ6" s="49" t="s">
        <v>53</v>
      </c>
      <c r="BA6" s="50" t="s">
        <v>2</v>
      </c>
      <c r="BB6" s="50" t="s">
        <v>3</v>
      </c>
      <c r="BC6" s="50" t="s">
        <v>4</v>
      </c>
      <c r="BD6" s="49" t="s">
        <v>5</v>
      </c>
      <c r="BE6" s="49" t="s">
        <v>53</v>
      </c>
      <c r="BF6" s="50" t="s">
        <v>2</v>
      </c>
      <c r="BG6" s="50" t="s">
        <v>3</v>
      </c>
      <c r="BH6" s="50" t="s">
        <v>4</v>
      </c>
      <c r="BI6" s="49" t="s">
        <v>5</v>
      </c>
      <c r="BJ6" s="49" t="s">
        <v>53</v>
      </c>
      <c r="BK6" s="50" t="s">
        <v>2</v>
      </c>
      <c r="BL6" s="50" t="s">
        <v>3</v>
      </c>
      <c r="BM6" s="50" t="s">
        <v>4</v>
      </c>
      <c r="BN6" s="49" t="s">
        <v>5</v>
      </c>
      <c r="BO6" s="49" t="s">
        <v>53</v>
      </c>
      <c r="BP6" s="50" t="s">
        <v>2</v>
      </c>
      <c r="BQ6" s="50" t="s">
        <v>3</v>
      </c>
      <c r="BR6" s="50" t="s">
        <v>4</v>
      </c>
      <c r="BS6" s="49" t="s">
        <v>5</v>
      </c>
      <c r="BT6" s="49" t="s">
        <v>53</v>
      </c>
      <c r="BU6" s="50" t="s">
        <v>2</v>
      </c>
      <c r="BV6" s="50" t="s">
        <v>3</v>
      </c>
      <c r="BW6" s="50" t="s">
        <v>4</v>
      </c>
      <c r="BX6" s="49" t="s">
        <v>5</v>
      </c>
      <c r="BY6" s="49" t="s">
        <v>53</v>
      </c>
      <c r="BZ6" s="50" t="s">
        <v>2</v>
      </c>
      <c r="CA6" s="50" t="s">
        <v>3</v>
      </c>
      <c r="CB6" s="50" t="s">
        <v>4</v>
      </c>
      <c r="CC6" s="49" t="s">
        <v>5</v>
      </c>
      <c r="CD6" s="49" t="s">
        <v>53</v>
      </c>
      <c r="CE6" s="50" t="s">
        <v>2</v>
      </c>
      <c r="CF6" s="50" t="s">
        <v>3</v>
      </c>
      <c r="CG6" s="50" t="s">
        <v>4</v>
      </c>
      <c r="CH6" s="49" t="s">
        <v>5</v>
      </c>
      <c r="CI6" s="49" t="s">
        <v>53</v>
      </c>
      <c r="CJ6" s="50" t="s">
        <v>2</v>
      </c>
      <c r="CK6" s="50" t="s">
        <v>3</v>
      </c>
      <c r="CL6" s="50" t="s">
        <v>4</v>
      </c>
      <c r="CM6" s="49" t="s">
        <v>5</v>
      </c>
      <c r="CN6" s="49" t="s">
        <v>53</v>
      </c>
      <c r="CO6" s="50" t="s">
        <v>2</v>
      </c>
      <c r="CP6" s="50" t="s">
        <v>3</v>
      </c>
      <c r="CQ6" s="50" t="s">
        <v>4</v>
      </c>
      <c r="CR6" s="49" t="s">
        <v>5</v>
      </c>
      <c r="CS6" s="49" t="s">
        <v>53</v>
      </c>
      <c r="CT6" s="50" t="s">
        <v>2</v>
      </c>
      <c r="CU6" s="50" t="s">
        <v>3</v>
      </c>
      <c r="CV6" s="50" t="s">
        <v>4</v>
      </c>
      <c r="CW6" s="49" t="s">
        <v>5</v>
      </c>
      <c r="CX6" s="49" t="s">
        <v>53</v>
      </c>
      <c r="CY6" s="50" t="s">
        <v>2</v>
      </c>
      <c r="CZ6" s="50" t="s">
        <v>3</v>
      </c>
      <c r="DA6" s="50" t="s">
        <v>4</v>
      </c>
      <c r="DB6" s="49" t="s">
        <v>5</v>
      </c>
      <c r="DC6" s="49" t="s">
        <v>53</v>
      </c>
      <c r="DD6" s="50" t="s">
        <v>2</v>
      </c>
      <c r="DE6" s="50" t="s">
        <v>3</v>
      </c>
      <c r="DF6" s="50" t="s">
        <v>4</v>
      </c>
      <c r="DG6" s="49" t="s">
        <v>5</v>
      </c>
      <c r="DH6" s="49" t="s">
        <v>53</v>
      </c>
      <c r="DI6" s="50" t="s">
        <v>2</v>
      </c>
      <c r="DJ6" s="50" t="s">
        <v>3</v>
      </c>
      <c r="DK6" s="50" t="s">
        <v>4</v>
      </c>
      <c r="DL6" s="49" t="s">
        <v>5</v>
      </c>
      <c r="DM6" s="49" t="s">
        <v>53</v>
      </c>
      <c r="DN6" s="50" t="s">
        <v>2</v>
      </c>
      <c r="DO6" s="50" t="s">
        <v>3</v>
      </c>
      <c r="DP6" s="50" t="s">
        <v>4</v>
      </c>
      <c r="DQ6" s="49" t="s">
        <v>5</v>
      </c>
      <c r="DR6" s="49" t="s">
        <v>53</v>
      </c>
      <c r="DS6" s="50" t="s">
        <v>2</v>
      </c>
      <c r="DT6" s="50" t="s">
        <v>3</v>
      </c>
      <c r="DU6" s="50" t="s">
        <v>4</v>
      </c>
      <c r="DV6" s="49" t="s">
        <v>5</v>
      </c>
      <c r="DW6" s="49" t="s">
        <v>53</v>
      </c>
      <c r="DX6" s="50" t="s">
        <v>2</v>
      </c>
      <c r="DY6" s="50" t="s">
        <v>3</v>
      </c>
      <c r="DZ6" s="50" t="s">
        <v>4</v>
      </c>
      <c r="EA6" s="49" t="s">
        <v>5</v>
      </c>
      <c r="EB6" s="49" t="s">
        <v>53</v>
      </c>
      <c r="EC6" s="50" t="s">
        <v>2</v>
      </c>
      <c r="ED6" s="50" t="s">
        <v>3</v>
      </c>
      <c r="EE6" s="50" t="s">
        <v>4</v>
      </c>
      <c r="EF6" s="49" t="s">
        <v>5</v>
      </c>
      <c r="EG6" s="49" t="s">
        <v>53</v>
      </c>
      <c r="EH6" s="50" t="s">
        <v>2</v>
      </c>
      <c r="EI6" s="50" t="s">
        <v>3</v>
      </c>
      <c r="EJ6" s="50" t="s">
        <v>4</v>
      </c>
      <c r="EK6" s="49" t="s">
        <v>5</v>
      </c>
      <c r="EL6" s="49" t="s">
        <v>53</v>
      </c>
      <c r="EM6" s="50" t="s">
        <v>2</v>
      </c>
      <c r="EN6" s="50" t="s">
        <v>3</v>
      </c>
      <c r="EO6" s="50" t="s">
        <v>4</v>
      </c>
      <c r="EP6" s="49" t="s">
        <v>5</v>
      </c>
      <c r="EQ6" s="49" t="s">
        <v>53</v>
      </c>
      <c r="ER6" s="50" t="s">
        <v>2</v>
      </c>
      <c r="ES6" s="50" t="s">
        <v>3</v>
      </c>
      <c r="ET6" s="50" t="s">
        <v>4</v>
      </c>
      <c r="EU6" s="49" t="s">
        <v>5</v>
      </c>
      <c r="EV6" s="49" t="s">
        <v>53</v>
      </c>
      <c r="EW6" s="50" t="s">
        <v>2</v>
      </c>
      <c r="EX6" s="50" t="s">
        <v>3</v>
      </c>
      <c r="EY6" s="50" t="s">
        <v>4</v>
      </c>
      <c r="EZ6" s="49" t="s">
        <v>5</v>
      </c>
      <c r="FA6" s="49" t="s">
        <v>53</v>
      </c>
      <c r="FB6" s="50" t="s">
        <v>2</v>
      </c>
      <c r="FC6" s="50" t="s">
        <v>3</v>
      </c>
      <c r="FD6" s="50" t="s">
        <v>4</v>
      </c>
      <c r="FE6" s="49" t="s">
        <v>5</v>
      </c>
      <c r="FF6" s="49" t="s">
        <v>53</v>
      </c>
      <c r="FG6" s="50" t="s">
        <v>2</v>
      </c>
      <c r="FH6" s="50" t="s">
        <v>3</v>
      </c>
      <c r="FI6" s="50" t="s">
        <v>4</v>
      </c>
      <c r="FJ6" s="49" t="s">
        <v>5</v>
      </c>
      <c r="FK6" s="49" t="s">
        <v>53</v>
      </c>
      <c r="FL6" s="50" t="s">
        <v>2</v>
      </c>
      <c r="FM6" s="50" t="s">
        <v>3</v>
      </c>
      <c r="FN6" s="50" t="s">
        <v>4</v>
      </c>
      <c r="FO6" s="49" t="s">
        <v>5</v>
      </c>
      <c r="FP6" s="49" t="s">
        <v>53</v>
      </c>
      <c r="FQ6" s="50" t="s">
        <v>2</v>
      </c>
      <c r="FR6" s="50" t="s">
        <v>3</v>
      </c>
      <c r="FS6" s="50" t="s">
        <v>4</v>
      </c>
      <c r="FT6" s="49" t="s">
        <v>5</v>
      </c>
      <c r="FU6" s="49" t="s">
        <v>53</v>
      </c>
      <c r="FV6" s="50" t="s">
        <v>2</v>
      </c>
      <c r="FW6" s="50" t="s">
        <v>3</v>
      </c>
      <c r="FX6" s="50" t="s">
        <v>4</v>
      </c>
      <c r="FY6" s="49" t="s">
        <v>5</v>
      </c>
      <c r="FZ6" s="49" t="s">
        <v>53</v>
      </c>
      <c r="GA6" s="50" t="s">
        <v>2</v>
      </c>
      <c r="GB6" s="50" t="s">
        <v>3</v>
      </c>
      <c r="GC6" s="50" t="s">
        <v>4</v>
      </c>
      <c r="GD6" s="49" t="s">
        <v>5</v>
      </c>
      <c r="GE6" s="49" t="s">
        <v>53</v>
      </c>
      <c r="GF6" s="50" t="s">
        <v>2</v>
      </c>
      <c r="GG6" s="50" t="s">
        <v>3</v>
      </c>
      <c r="GH6" s="50" t="s">
        <v>4</v>
      </c>
      <c r="GI6" s="49" t="s">
        <v>5</v>
      </c>
      <c r="GJ6" s="49" t="s">
        <v>53</v>
      </c>
      <c r="GK6" s="50" t="s">
        <v>2</v>
      </c>
      <c r="GL6" s="50" t="s">
        <v>3</v>
      </c>
      <c r="GM6" s="50" t="s">
        <v>4</v>
      </c>
      <c r="GN6" s="49" t="s">
        <v>5</v>
      </c>
      <c r="GO6" s="49" t="s">
        <v>53</v>
      </c>
      <c r="GP6" s="50" t="s">
        <v>2</v>
      </c>
      <c r="GQ6" s="50" t="s">
        <v>3</v>
      </c>
      <c r="GR6" s="50" t="s">
        <v>4</v>
      </c>
      <c r="GS6" s="49" t="s">
        <v>5</v>
      </c>
      <c r="GT6" s="49" t="s">
        <v>53</v>
      </c>
      <c r="GU6" s="50" t="s">
        <v>2</v>
      </c>
      <c r="GV6" s="50" t="s">
        <v>3</v>
      </c>
      <c r="GW6" s="50" t="s">
        <v>4</v>
      </c>
      <c r="GX6" s="49" t="s">
        <v>5</v>
      </c>
      <c r="GY6" s="49" t="s">
        <v>53</v>
      </c>
      <c r="GZ6" s="50" t="s">
        <v>2</v>
      </c>
      <c r="HA6" s="50" t="s">
        <v>3</v>
      </c>
      <c r="HB6" s="50" t="s">
        <v>4</v>
      </c>
      <c r="HC6" s="49" t="s">
        <v>5</v>
      </c>
      <c r="HD6" s="49" t="s">
        <v>53</v>
      </c>
      <c r="HE6" s="50" t="s">
        <v>2</v>
      </c>
      <c r="HF6" s="50" t="s">
        <v>3</v>
      </c>
      <c r="HG6" s="50" t="s">
        <v>4</v>
      </c>
      <c r="HH6" s="49" t="s">
        <v>5</v>
      </c>
      <c r="HI6" s="49" t="s">
        <v>53</v>
      </c>
      <c r="HJ6" s="50" t="s">
        <v>2</v>
      </c>
      <c r="HK6" s="50" t="s">
        <v>3</v>
      </c>
      <c r="HL6" s="50" t="s">
        <v>4</v>
      </c>
      <c r="HM6" s="49" t="s">
        <v>5</v>
      </c>
      <c r="HN6" s="49" t="s">
        <v>53</v>
      </c>
      <c r="HO6" s="50" t="s">
        <v>2</v>
      </c>
      <c r="HP6" s="50" t="s">
        <v>3</v>
      </c>
      <c r="HQ6" s="50" t="s">
        <v>4</v>
      </c>
      <c r="HR6" s="49" t="s">
        <v>5</v>
      </c>
      <c r="HS6" s="49" t="s">
        <v>53</v>
      </c>
      <c r="HT6" s="50" t="s">
        <v>2</v>
      </c>
      <c r="HU6" s="50" t="s">
        <v>3</v>
      </c>
      <c r="HV6" s="50" t="s">
        <v>4</v>
      </c>
      <c r="HW6" s="49" t="s">
        <v>5</v>
      </c>
      <c r="HX6" s="49" t="s">
        <v>53</v>
      </c>
      <c r="HY6" s="50" t="s">
        <v>2</v>
      </c>
      <c r="HZ6" s="50" t="s">
        <v>3</v>
      </c>
      <c r="IA6" s="50" t="s">
        <v>4</v>
      </c>
      <c r="IB6" s="49" t="s">
        <v>5</v>
      </c>
      <c r="IC6" s="49" t="s">
        <v>131</v>
      </c>
      <c r="ID6" s="50" t="s">
        <v>2</v>
      </c>
      <c r="IE6" s="50" t="s">
        <v>3</v>
      </c>
      <c r="IF6" s="50" t="s">
        <v>4</v>
      </c>
      <c r="IG6" s="49" t="s">
        <v>5</v>
      </c>
      <c r="IH6" s="49" t="s">
        <v>53</v>
      </c>
      <c r="II6" s="50" t="s">
        <v>2</v>
      </c>
      <c r="IJ6" s="50" t="s">
        <v>3</v>
      </c>
      <c r="IK6" s="50" t="s">
        <v>4</v>
      </c>
      <c r="IL6" s="49" t="s">
        <v>5</v>
      </c>
      <c r="IM6" s="49" t="s">
        <v>53</v>
      </c>
      <c r="IN6" s="50" t="s">
        <v>2</v>
      </c>
      <c r="IO6" s="50" t="s">
        <v>3</v>
      </c>
      <c r="IP6" s="50" t="s">
        <v>4</v>
      </c>
      <c r="IQ6" s="49" t="s">
        <v>5</v>
      </c>
      <c r="IR6" s="49" t="s">
        <v>53</v>
      </c>
      <c r="IS6" s="50" t="s">
        <v>2</v>
      </c>
      <c r="IT6" s="50" t="s">
        <v>3</v>
      </c>
      <c r="IU6" s="50" t="s">
        <v>4</v>
      </c>
      <c r="IV6" s="49" t="s">
        <v>5</v>
      </c>
      <c r="IW6" s="49" t="s">
        <v>53</v>
      </c>
      <c r="IX6" s="50" t="s">
        <v>2</v>
      </c>
      <c r="IY6" s="50" t="s">
        <v>3</v>
      </c>
      <c r="IZ6" s="50" t="s">
        <v>4</v>
      </c>
      <c r="JA6" s="49" t="s">
        <v>5</v>
      </c>
      <c r="JB6" s="49" t="s">
        <v>53</v>
      </c>
      <c r="JC6" s="50" t="s">
        <v>2</v>
      </c>
      <c r="JD6" s="50" t="s">
        <v>3</v>
      </c>
      <c r="JE6" s="50" t="s">
        <v>4</v>
      </c>
      <c r="JF6" s="49" t="s">
        <v>5</v>
      </c>
      <c r="JG6" s="49" t="s">
        <v>53</v>
      </c>
      <c r="JH6" s="50" t="s">
        <v>2</v>
      </c>
      <c r="JI6" s="50" t="s">
        <v>3</v>
      </c>
      <c r="JJ6" s="50" t="s">
        <v>4</v>
      </c>
      <c r="JK6" s="49" t="s">
        <v>5</v>
      </c>
      <c r="JL6" s="49" t="s">
        <v>53</v>
      </c>
      <c r="JM6" s="50" t="s">
        <v>2</v>
      </c>
      <c r="JN6" s="50" t="s">
        <v>3</v>
      </c>
      <c r="JO6" s="50" t="s">
        <v>4</v>
      </c>
      <c r="JP6" s="49" t="s">
        <v>5</v>
      </c>
      <c r="JQ6" s="49" t="s">
        <v>53</v>
      </c>
      <c r="JR6" s="50" t="s">
        <v>2</v>
      </c>
      <c r="JS6" s="50" t="s">
        <v>3</v>
      </c>
      <c r="JT6" s="50" t="s">
        <v>4</v>
      </c>
      <c r="JU6" s="49" t="s">
        <v>5</v>
      </c>
      <c r="JV6" s="49" t="s">
        <v>53</v>
      </c>
      <c r="JW6" s="50" t="s">
        <v>2</v>
      </c>
      <c r="JX6" s="50" t="s">
        <v>3</v>
      </c>
      <c r="JY6" s="50" t="s">
        <v>4</v>
      </c>
      <c r="JZ6" s="49" t="s">
        <v>5</v>
      </c>
      <c r="KA6" s="49" t="s">
        <v>53</v>
      </c>
      <c r="KB6" s="50" t="s">
        <v>2</v>
      </c>
      <c r="KC6" s="50" t="s">
        <v>3</v>
      </c>
      <c r="KD6" s="50" t="s">
        <v>4</v>
      </c>
      <c r="KE6" s="49" t="s">
        <v>5</v>
      </c>
      <c r="KF6" s="49" t="s">
        <v>53</v>
      </c>
      <c r="KG6" s="50" t="s">
        <v>2</v>
      </c>
      <c r="KH6" s="50" t="s">
        <v>3</v>
      </c>
      <c r="KI6" s="50" t="s">
        <v>4</v>
      </c>
      <c r="KJ6" s="49" t="s">
        <v>5</v>
      </c>
      <c r="KK6" s="49" t="s">
        <v>53</v>
      </c>
      <c r="KL6" s="50" t="s">
        <v>2</v>
      </c>
      <c r="KM6" s="50" t="s">
        <v>3</v>
      </c>
      <c r="KN6" s="50" t="s">
        <v>4</v>
      </c>
      <c r="KO6" s="49" t="s">
        <v>5</v>
      </c>
      <c r="KP6" s="49" t="s">
        <v>53</v>
      </c>
      <c r="KQ6" s="50" t="s">
        <v>2</v>
      </c>
      <c r="KR6" s="50" t="s">
        <v>3</v>
      </c>
      <c r="KS6" s="50" t="s">
        <v>4</v>
      </c>
      <c r="KT6" s="49" t="s">
        <v>5</v>
      </c>
      <c r="KU6" s="49" t="s">
        <v>53</v>
      </c>
      <c r="KV6" s="50" t="s">
        <v>2</v>
      </c>
      <c r="KW6" s="50" t="s">
        <v>3</v>
      </c>
      <c r="KX6" s="50" t="s">
        <v>4</v>
      </c>
      <c r="KY6" s="49" t="s">
        <v>5</v>
      </c>
      <c r="KZ6" s="49" t="s">
        <v>53</v>
      </c>
      <c r="LA6" s="50" t="s">
        <v>2</v>
      </c>
      <c r="LB6" s="50" t="s">
        <v>3</v>
      </c>
      <c r="LC6" s="50" t="s">
        <v>4</v>
      </c>
      <c r="LD6" s="49" t="s">
        <v>5</v>
      </c>
      <c r="LE6" s="49" t="s">
        <v>53</v>
      </c>
      <c r="LF6" s="50" t="s">
        <v>2</v>
      </c>
      <c r="LG6" s="50" t="s">
        <v>3</v>
      </c>
      <c r="LH6" s="50" t="s">
        <v>4</v>
      </c>
      <c r="LI6" s="49" t="s">
        <v>5</v>
      </c>
      <c r="LJ6" s="49" t="s">
        <v>53</v>
      </c>
      <c r="LK6" s="50" t="s">
        <v>2</v>
      </c>
      <c r="LL6" s="50" t="s">
        <v>3</v>
      </c>
      <c r="LM6" s="50" t="s">
        <v>4</v>
      </c>
      <c r="LN6" s="49" t="s">
        <v>5</v>
      </c>
      <c r="LO6" s="49" t="s">
        <v>53</v>
      </c>
      <c r="LP6" s="50" t="s">
        <v>2</v>
      </c>
      <c r="LQ6" s="50" t="s">
        <v>3</v>
      </c>
      <c r="LR6" s="50" t="s">
        <v>4</v>
      </c>
      <c r="LS6" s="49" t="s">
        <v>5</v>
      </c>
      <c r="LT6" s="49" t="s">
        <v>53</v>
      </c>
      <c r="LU6" s="50" t="s">
        <v>2</v>
      </c>
      <c r="LV6" s="50" t="s">
        <v>3</v>
      </c>
      <c r="LW6" s="50" t="s">
        <v>4</v>
      </c>
      <c r="LX6" s="49" t="s">
        <v>5</v>
      </c>
      <c r="LY6" s="49" t="s">
        <v>53</v>
      </c>
      <c r="LZ6" s="50" t="s">
        <v>2</v>
      </c>
      <c r="MA6" s="50" t="s">
        <v>3</v>
      </c>
      <c r="MB6" s="50" t="s">
        <v>4</v>
      </c>
      <c r="MC6" s="49" t="s">
        <v>5</v>
      </c>
      <c r="MD6" s="49" t="s">
        <v>53</v>
      </c>
      <c r="ME6" s="50" t="s">
        <v>2</v>
      </c>
      <c r="MF6" s="50" t="s">
        <v>3</v>
      </c>
      <c r="MG6" s="50" t="s">
        <v>4</v>
      </c>
      <c r="MH6" s="49" t="s">
        <v>5</v>
      </c>
      <c r="MI6" s="49" t="s">
        <v>53</v>
      </c>
      <c r="MJ6" s="50" t="s">
        <v>2</v>
      </c>
      <c r="MK6" s="50" t="s">
        <v>3</v>
      </c>
      <c r="ML6" s="50" t="s">
        <v>4</v>
      </c>
      <c r="MM6" s="49" t="s">
        <v>5</v>
      </c>
      <c r="MN6" s="49" t="s">
        <v>53</v>
      </c>
      <c r="MO6" s="50" t="s">
        <v>2</v>
      </c>
      <c r="MP6" s="50" t="s">
        <v>3</v>
      </c>
      <c r="MQ6" s="50" t="s">
        <v>4</v>
      </c>
      <c r="MR6" s="49" t="s">
        <v>5</v>
      </c>
      <c r="MS6" s="49" t="s">
        <v>53</v>
      </c>
      <c r="MT6" s="50" t="s">
        <v>2</v>
      </c>
      <c r="MU6" s="50" t="s">
        <v>3</v>
      </c>
      <c r="MV6" s="50" t="s">
        <v>4</v>
      </c>
      <c r="MW6" s="49" t="s">
        <v>5</v>
      </c>
      <c r="MX6" s="49" t="s">
        <v>53</v>
      </c>
      <c r="MY6" s="50" t="s">
        <v>2</v>
      </c>
      <c r="MZ6" s="50" t="s">
        <v>3</v>
      </c>
      <c r="NA6" s="50" t="s">
        <v>4</v>
      </c>
      <c r="NB6" s="49" t="s">
        <v>5</v>
      </c>
      <c r="NC6" s="49" t="s">
        <v>53</v>
      </c>
      <c r="ND6" s="50" t="s">
        <v>2</v>
      </c>
      <c r="NE6" s="50" t="s">
        <v>3</v>
      </c>
      <c r="NF6" s="50" t="s">
        <v>4</v>
      </c>
      <c r="NG6" s="49" t="s">
        <v>5</v>
      </c>
      <c r="NH6" s="49" t="s">
        <v>53</v>
      </c>
      <c r="NI6" s="50" t="s">
        <v>2</v>
      </c>
      <c r="NJ6" s="50" t="s">
        <v>3</v>
      </c>
      <c r="NK6" s="50" t="s">
        <v>4</v>
      </c>
      <c r="NL6" s="49" t="s">
        <v>5</v>
      </c>
      <c r="NM6" s="49" t="s">
        <v>2</v>
      </c>
      <c r="NN6" s="49" t="s">
        <v>3</v>
      </c>
      <c r="NO6" s="49" t="s">
        <v>4</v>
      </c>
      <c r="NP6" s="49" t="s">
        <v>5</v>
      </c>
      <c r="NQ6" s="106" t="s">
        <v>2</v>
      </c>
      <c r="NR6" s="106" t="s">
        <v>3</v>
      </c>
      <c r="NS6" s="106" t="s">
        <v>4</v>
      </c>
      <c r="NT6" s="107" t="s">
        <v>5</v>
      </c>
      <c r="NU6" s="23"/>
    </row>
    <row r="7" spans="1:389" s="98" customFormat="1" ht="31.5" customHeight="1" thickBot="1">
      <c r="A7" s="97"/>
      <c r="B7" s="35" t="s">
        <v>6</v>
      </c>
      <c r="C7" s="36">
        <v>39565565</v>
      </c>
      <c r="D7" s="36">
        <v>1510041</v>
      </c>
      <c r="E7" s="36">
        <v>1397940</v>
      </c>
      <c r="F7" s="36">
        <v>112101</v>
      </c>
      <c r="G7" s="36">
        <v>39782895</v>
      </c>
      <c r="H7" s="36">
        <v>1613641</v>
      </c>
      <c r="I7" s="36">
        <v>1396311</v>
      </c>
      <c r="J7" s="36">
        <v>217330</v>
      </c>
      <c r="K7" s="47">
        <v>0.54929077625274658</v>
      </c>
      <c r="L7" s="36">
        <v>39487935</v>
      </c>
      <c r="M7" s="36">
        <v>1459403</v>
      </c>
      <c r="N7" s="36">
        <v>1754363</v>
      </c>
      <c r="O7" s="36">
        <v>-294960</v>
      </c>
      <c r="P7" s="47">
        <v>-0.74142414331436157</v>
      </c>
      <c r="Q7" s="36">
        <v>38506594</v>
      </c>
      <c r="R7" s="36">
        <v>664774</v>
      </c>
      <c r="S7" s="36">
        <v>1646115</v>
      </c>
      <c r="T7" s="36">
        <v>-981341</v>
      </c>
      <c r="U7" s="47">
        <v>-2.4851667881011963</v>
      </c>
      <c r="V7" s="36">
        <v>38108365</v>
      </c>
      <c r="W7" s="36">
        <v>761742</v>
      </c>
      <c r="X7" s="36">
        <v>1159971</v>
      </c>
      <c r="Y7" s="36">
        <v>-398229</v>
      </c>
      <c r="Z7" s="47">
        <v>-1.0341838598251343</v>
      </c>
      <c r="AA7" s="36">
        <v>38054988</v>
      </c>
      <c r="AB7" s="36">
        <v>962278</v>
      </c>
      <c r="AC7" s="36">
        <v>1015655</v>
      </c>
      <c r="AD7" s="36">
        <v>-53377</v>
      </c>
      <c r="AE7" s="47">
        <v>-0.14006635546684265</v>
      </c>
      <c r="AF7" s="36">
        <v>38163493</v>
      </c>
      <c r="AG7" s="36">
        <v>1177080</v>
      </c>
      <c r="AH7" s="36">
        <v>1068575</v>
      </c>
      <c r="AI7" s="36">
        <v>108505</v>
      </c>
      <c r="AJ7" s="47">
        <v>0.28512689471244812</v>
      </c>
      <c r="AK7" s="36">
        <v>38378102</v>
      </c>
      <c r="AL7" s="36">
        <v>1328863</v>
      </c>
      <c r="AM7" s="36">
        <v>1114254</v>
      </c>
      <c r="AN7" s="36">
        <v>214609</v>
      </c>
      <c r="AO7" s="47">
        <v>0.56234109401702881</v>
      </c>
      <c r="AP7" s="36">
        <v>38677820</v>
      </c>
      <c r="AQ7" s="36">
        <v>1490664</v>
      </c>
      <c r="AR7" s="36">
        <v>1190946</v>
      </c>
      <c r="AS7" s="36">
        <v>299718</v>
      </c>
      <c r="AT7" s="47">
        <v>0.78096097707748413</v>
      </c>
      <c r="AU7" s="36">
        <v>39043829</v>
      </c>
      <c r="AV7" s="36">
        <v>1662455</v>
      </c>
      <c r="AW7" s="36">
        <v>1296446</v>
      </c>
      <c r="AX7" s="36">
        <v>366009</v>
      </c>
      <c r="AY7" s="47">
        <v>0.94630205631256104</v>
      </c>
      <c r="AZ7" s="36">
        <v>39420239</v>
      </c>
      <c r="BA7" s="36">
        <v>1655405</v>
      </c>
      <c r="BB7" s="36">
        <v>1278995</v>
      </c>
      <c r="BC7" s="36">
        <v>376410</v>
      </c>
      <c r="BD7" s="47">
        <v>0.96407037973403931</v>
      </c>
      <c r="BE7" s="36">
        <v>39263983</v>
      </c>
      <c r="BF7" s="36">
        <v>1335469</v>
      </c>
      <c r="BG7" s="36">
        <v>1491725</v>
      </c>
      <c r="BH7" s="36">
        <v>-156256</v>
      </c>
      <c r="BI7" s="47">
        <v>-0.39638522267341614</v>
      </c>
      <c r="BJ7" s="36">
        <v>39518482</v>
      </c>
      <c r="BK7" s="36">
        <v>1710878</v>
      </c>
      <c r="BL7" s="36">
        <v>1456379</v>
      </c>
      <c r="BM7" s="36">
        <v>254499</v>
      </c>
      <c r="BN7" s="47">
        <v>0.64817416667938232</v>
      </c>
      <c r="BO7" s="36">
        <v>39916326</v>
      </c>
      <c r="BP7" s="36">
        <v>1863742</v>
      </c>
      <c r="BQ7" s="36">
        <v>1465898</v>
      </c>
      <c r="BR7" s="36">
        <v>397844</v>
      </c>
      <c r="BS7" s="47">
        <v>1.0067290067672729</v>
      </c>
      <c r="BT7" s="36">
        <v>40070552</v>
      </c>
      <c r="BU7" s="36">
        <v>1758820</v>
      </c>
      <c r="BV7" s="36">
        <v>1604594</v>
      </c>
      <c r="BW7" s="36">
        <v>154226</v>
      </c>
      <c r="BX7" s="47">
        <v>0.38637322187423706</v>
      </c>
      <c r="BY7" s="36">
        <v>40160830</v>
      </c>
      <c r="BZ7" s="36">
        <v>1502890</v>
      </c>
      <c r="CA7" s="36">
        <v>1412612</v>
      </c>
      <c r="CB7" s="36">
        <v>90278</v>
      </c>
      <c r="CC7" s="47">
        <v>0.22529761493206024</v>
      </c>
      <c r="CD7" s="36">
        <v>40427502</v>
      </c>
      <c r="CE7" s="36">
        <v>1651326</v>
      </c>
      <c r="CF7" s="36">
        <v>1384654</v>
      </c>
      <c r="CG7" s="36">
        <v>266672</v>
      </c>
      <c r="CH7" s="47">
        <v>0.66401016712188721</v>
      </c>
      <c r="CI7" s="36">
        <v>40745651</v>
      </c>
      <c r="CJ7" s="36">
        <v>1698629</v>
      </c>
      <c r="CK7" s="36">
        <v>1380480</v>
      </c>
      <c r="CL7" s="36">
        <v>318149</v>
      </c>
      <c r="CM7" s="47">
        <v>0.78696179389953613</v>
      </c>
      <c r="CN7" s="36">
        <v>41052664</v>
      </c>
      <c r="CO7" s="36">
        <v>1765840</v>
      </c>
      <c r="CP7" s="36">
        <v>1458827</v>
      </c>
      <c r="CQ7" s="36">
        <v>307013</v>
      </c>
      <c r="CR7" s="47">
        <v>0.75348657369613647</v>
      </c>
      <c r="CS7" s="36">
        <v>41440503</v>
      </c>
      <c r="CT7" s="36">
        <v>1917831</v>
      </c>
      <c r="CU7" s="36">
        <v>1529992</v>
      </c>
      <c r="CV7" s="36">
        <v>387839</v>
      </c>
      <c r="CW7" s="47">
        <v>0.94473528861999512</v>
      </c>
      <c r="CX7" s="36">
        <v>41770641</v>
      </c>
      <c r="CY7" s="36">
        <v>1890278</v>
      </c>
      <c r="CZ7" s="36">
        <v>1560140</v>
      </c>
      <c r="DA7" s="36">
        <v>330138</v>
      </c>
      <c r="DB7" s="47">
        <v>0.79665541648864746</v>
      </c>
      <c r="DC7" s="36">
        <v>42023515</v>
      </c>
      <c r="DD7" s="36">
        <v>1841637</v>
      </c>
      <c r="DE7" s="36">
        <v>1588763</v>
      </c>
      <c r="DF7" s="36">
        <v>252874</v>
      </c>
      <c r="DG7" s="47">
        <v>0.60538691282272339</v>
      </c>
      <c r="DH7" s="36">
        <v>42337662</v>
      </c>
      <c r="DI7" s="36">
        <v>1861355</v>
      </c>
      <c r="DJ7" s="36">
        <v>1547208</v>
      </c>
      <c r="DK7" s="36">
        <v>314147</v>
      </c>
      <c r="DL7" s="47">
        <v>0.74755048751831055</v>
      </c>
      <c r="DM7" s="36">
        <v>42046342</v>
      </c>
      <c r="DN7" s="36">
        <v>1479612</v>
      </c>
      <c r="DO7" s="36">
        <v>1770932</v>
      </c>
      <c r="DP7" s="36">
        <v>-291320</v>
      </c>
      <c r="DQ7" s="47">
        <v>-0.6880871057510376</v>
      </c>
      <c r="DR7" s="36">
        <v>42213770</v>
      </c>
      <c r="DS7" s="36">
        <v>1850592</v>
      </c>
      <c r="DT7" s="36">
        <v>1683164</v>
      </c>
      <c r="DU7" s="36">
        <v>167428</v>
      </c>
      <c r="DV7" s="47">
        <v>0.39819872379302979</v>
      </c>
      <c r="DW7" s="36">
        <v>42567246</v>
      </c>
      <c r="DX7" s="36">
        <v>2088703</v>
      </c>
      <c r="DY7" s="36">
        <v>1735227</v>
      </c>
      <c r="DZ7" s="36">
        <v>353476</v>
      </c>
      <c r="EA7" s="47">
        <v>0.83734762668609619</v>
      </c>
      <c r="EB7" s="36">
        <v>42666414</v>
      </c>
      <c r="EC7" s="36">
        <v>2002081</v>
      </c>
      <c r="ED7" s="36">
        <v>1902913</v>
      </c>
      <c r="EE7" s="36">
        <v>99168</v>
      </c>
      <c r="EF7" s="47">
        <v>0.23296785354614258</v>
      </c>
      <c r="EG7" s="36">
        <v>42871912</v>
      </c>
      <c r="EH7" s="36">
        <v>1886443</v>
      </c>
      <c r="EI7" s="36">
        <v>1680945</v>
      </c>
      <c r="EJ7" s="36">
        <v>205498</v>
      </c>
      <c r="EK7" s="47">
        <v>0.48163878917694092</v>
      </c>
      <c r="EL7" s="36">
        <v>43149671</v>
      </c>
      <c r="EM7" s="36">
        <v>2001397</v>
      </c>
      <c r="EN7" s="36">
        <v>1723638</v>
      </c>
      <c r="EO7" s="36">
        <v>277759</v>
      </c>
      <c r="EP7" s="47">
        <v>0.64788109064102173</v>
      </c>
      <c r="EQ7" s="36">
        <v>43434924</v>
      </c>
      <c r="ER7" s="36">
        <v>1933105</v>
      </c>
      <c r="ES7" s="36">
        <v>1647852</v>
      </c>
      <c r="ET7" s="36">
        <v>285253</v>
      </c>
      <c r="EU7" s="47">
        <v>0.66107803583145142</v>
      </c>
      <c r="EV7" s="36">
        <v>43660303</v>
      </c>
      <c r="EW7" s="36">
        <v>1922369</v>
      </c>
      <c r="EX7" s="36">
        <v>1696990</v>
      </c>
      <c r="EY7" s="36">
        <v>225379</v>
      </c>
      <c r="EZ7" s="47">
        <v>0.51888889074325562</v>
      </c>
      <c r="FA7" s="36">
        <v>43949178</v>
      </c>
      <c r="FB7" s="36">
        <v>2084561</v>
      </c>
      <c r="FC7" s="36">
        <v>1795686</v>
      </c>
      <c r="FD7" s="36">
        <v>288875</v>
      </c>
      <c r="FE7" s="47">
        <v>0.66164225339889526</v>
      </c>
      <c r="FF7" s="36">
        <v>44227741</v>
      </c>
      <c r="FG7" s="36">
        <v>1952035</v>
      </c>
      <c r="FH7" s="36">
        <v>1673472</v>
      </c>
      <c r="FI7" s="36">
        <v>278563</v>
      </c>
      <c r="FJ7" s="47">
        <v>0.63382983207702637</v>
      </c>
      <c r="FK7" s="36">
        <v>44388209</v>
      </c>
      <c r="FL7" s="36">
        <v>1818649</v>
      </c>
      <c r="FM7" s="36">
        <v>1658181</v>
      </c>
      <c r="FN7" s="36">
        <v>160468</v>
      </c>
      <c r="FO7" s="47">
        <v>0.36282205581665039</v>
      </c>
      <c r="FP7" s="36">
        <v>44516190</v>
      </c>
      <c r="FQ7" s="36">
        <v>1773076</v>
      </c>
      <c r="FR7" s="36">
        <v>1645095</v>
      </c>
      <c r="FS7" s="36">
        <v>127981</v>
      </c>
      <c r="FT7" s="47">
        <v>0.28832206130027771</v>
      </c>
      <c r="FU7" s="36">
        <v>44061448</v>
      </c>
      <c r="FV7" s="36">
        <v>1408383</v>
      </c>
      <c r="FW7" s="36">
        <v>1863125</v>
      </c>
      <c r="FX7" s="36">
        <v>-454742</v>
      </c>
      <c r="FY7" s="47">
        <v>-1.0215204954147339</v>
      </c>
      <c r="FZ7" s="36">
        <v>44151559</v>
      </c>
      <c r="GA7" s="36">
        <v>1919707</v>
      </c>
      <c r="GB7" s="36">
        <v>1829596</v>
      </c>
      <c r="GC7" s="36">
        <v>90111</v>
      </c>
      <c r="GD7" s="47">
        <v>0.20451211929321289</v>
      </c>
      <c r="GE7" s="36">
        <v>44404025</v>
      </c>
      <c r="GF7" s="36">
        <v>1990213</v>
      </c>
      <c r="GG7" s="36">
        <v>1737747</v>
      </c>
      <c r="GH7" s="36">
        <v>252466</v>
      </c>
      <c r="GI7" s="47">
        <v>0.57181674242019653</v>
      </c>
      <c r="GJ7" s="36">
        <v>44599053</v>
      </c>
      <c r="GK7" s="36">
        <v>2204696</v>
      </c>
      <c r="GL7" s="36">
        <v>2009668</v>
      </c>
      <c r="GM7" s="36">
        <v>195028</v>
      </c>
      <c r="GN7" s="47">
        <v>0.43921244144439697</v>
      </c>
      <c r="GO7" s="36">
        <v>44781044</v>
      </c>
      <c r="GP7" s="36">
        <v>1900014</v>
      </c>
      <c r="GQ7" s="36">
        <v>1718023</v>
      </c>
      <c r="GR7" s="36">
        <v>181991</v>
      </c>
      <c r="GS7" s="47">
        <v>0.408060222864151</v>
      </c>
      <c r="GT7" s="36">
        <v>44937256</v>
      </c>
      <c r="GU7" s="36">
        <v>2024749</v>
      </c>
      <c r="GV7" s="36">
        <v>1868537</v>
      </c>
      <c r="GW7" s="36">
        <v>156212</v>
      </c>
      <c r="GX7" s="47">
        <v>0.34883511066436768</v>
      </c>
      <c r="GY7" s="36">
        <v>45093054</v>
      </c>
      <c r="GZ7" s="36">
        <v>1937226</v>
      </c>
      <c r="HA7" s="36">
        <v>1781428</v>
      </c>
      <c r="HB7" s="36">
        <v>155798</v>
      </c>
      <c r="HC7" s="47">
        <v>0.34670117497444153</v>
      </c>
      <c r="HD7" s="36">
        <v>45235420</v>
      </c>
      <c r="HE7" s="36">
        <v>1903179</v>
      </c>
      <c r="HF7" s="36">
        <v>1760813</v>
      </c>
      <c r="HG7" s="36">
        <v>142366</v>
      </c>
      <c r="HH7" s="47">
        <v>0.31571602821350098</v>
      </c>
      <c r="HI7" s="36">
        <v>45455360</v>
      </c>
      <c r="HJ7" s="36">
        <v>2117138</v>
      </c>
      <c r="HK7" s="36">
        <v>1897198</v>
      </c>
      <c r="HL7" s="36">
        <v>219940</v>
      </c>
      <c r="HM7" s="47">
        <v>0.48621192574501038</v>
      </c>
      <c r="HN7" s="36">
        <v>45660161</v>
      </c>
      <c r="HO7" s="36">
        <v>1941221</v>
      </c>
      <c r="HP7" s="36">
        <v>1736420</v>
      </c>
      <c r="HQ7" s="36">
        <v>204801</v>
      </c>
      <c r="HR7" s="47">
        <v>0.45055413246154785</v>
      </c>
      <c r="HS7" s="36">
        <v>45847373</v>
      </c>
      <c r="HT7" s="36">
        <v>1962991</v>
      </c>
      <c r="HU7" s="36">
        <v>1775779</v>
      </c>
      <c r="HV7" s="36">
        <v>187212</v>
      </c>
      <c r="HW7" s="47">
        <v>0.41001170873641968</v>
      </c>
      <c r="HX7" s="36">
        <v>45968910</v>
      </c>
      <c r="HY7" s="36">
        <v>1881512</v>
      </c>
      <c r="HZ7" s="36">
        <v>1759975</v>
      </c>
      <c r="IA7" s="36">
        <v>121537</v>
      </c>
      <c r="IB7" s="47">
        <v>0.26509043574333191</v>
      </c>
      <c r="IC7" s="36">
        <v>45517275</v>
      </c>
      <c r="ID7" s="36">
        <v>1514040</v>
      </c>
      <c r="IE7" s="36">
        <v>1965675</v>
      </c>
      <c r="IF7" s="36">
        <v>-451635</v>
      </c>
      <c r="IG7" s="47">
        <v>-0.9824792742729187</v>
      </c>
      <c r="IH7" s="36">
        <v>45690478</v>
      </c>
      <c r="II7" s="36">
        <v>2110697</v>
      </c>
      <c r="IJ7" s="36">
        <v>1937494</v>
      </c>
      <c r="IK7" s="36">
        <v>173203</v>
      </c>
      <c r="IL7" s="47">
        <v>0.38052144646644592</v>
      </c>
      <c r="IM7" s="36">
        <v>45998254</v>
      </c>
      <c r="IN7" s="36">
        <v>2276635</v>
      </c>
      <c r="IO7" s="36">
        <v>1968859</v>
      </c>
      <c r="IP7" s="36">
        <v>307776</v>
      </c>
      <c r="IQ7" s="47">
        <v>0.67361080646514893</v>
      </c>
      <c r="IR7" s="36">
        <v>46243853</v>
      </c>
      <c r="IS7" s="36">
        <v>2285403</v>
      </c>
      <c r="IT7" s="36">
        <v>2039804</v>
      </c>
      <c r="IU7" s="36">
        <v>245599</v>
      </c>
      <c r="IV7" s="47">
        <v>0.53393113613128662</v>
      </c>
      <c r="IW7" s="36">
        <v>46484112</v>
      </c>
      <c r="IX7" s="36">
        <v>2283136</v>
      </c>
      <c r="IY7" s="36">
        <v>2042877</v>
      </c>
      <c r="IZ7" s="36">
        <v>240259</v>
      </c>
      <c r="JA7" s="47">
        <v>0.51954799890518188</v>
      </c>
      <c r="JB7" s="36">
        <v>46623886</v>
      </c>
      <c r="JC7" s="36">
        <v>2142525</v>
      </c>
      <c r="JD7" s="36">
        <v>2002751</v>
      </c>
      <c r="JE7" s="36">
        <v>139774</v>
      </c>
      <c r="JF7" s="47">
        <v>0.30069199204444885</v>
      </c>
      <c r="JG7" s="36">
        <v>46830417</v>
      </c>
      <c r="JH7" s="36">
        <v>2092483</v>
      </c>
      <c r="JI7" s="36">
        <v>1885952</v>
      </c>
      <c r="JJ7" s="36">
        <v>206531</v>
      </c>
      <c r="JK7" s="47">
        <v>0.44297251105308533</v>
      </c>
      <c r="JL7" s="36">
        <v>47022147</v>
      </c>
      <c r="JM7" s="36">
        <v>2207020</v>
      </c>
      <c r="JN7" s="36">
        <v>2015290</v>
      </c>
      <c r="JO7" s="36">
        <v>191730</v>
      </c>
      <c r="JP7" s="47">
        <v>0.40941339731216431</v>
      </c>
      <c r="JQ7" s="36">
        <v>47261436</v>
      </c>
      <c r="JR7" s="36">
        <v>2254883</v>
      </c>
      <c r="JS7" s="36">
        <v>2015594</v>
      </c>
      <c r="JT7" s="36">
        <v>239289</v>
      </c>
      <c r="JU7" s="47">
        <v>0.50888574123382568</v>
      </c>
      <c r="JV7" s="36">
        <v>47513680</v>
      </c>
      <c r="JW7" s="36">
        <v>2184292</v>
      </c>
      <c r="JX7" s="36">
        <v>1932048</v>
      </c>
      <c r="JY7" s="36">
        <v>252244</v>
      </c>
      <c r="JZ7" s="47">
        <v>0.53372055292129517</v>
      </c>
      <c r="KA7" s="36">
        <v>47645163</v>
      </c>
      <c r="KB7" s="36">
        <v>2237483</v>
      </c>
      <c r="KC7" s="36">
        <v>2106000</v>
      </c>
      <c r="KD7" s="36">
        <v>131483</v>
      </c>
      <c r="KE7" s="47">
        <v>0.27672663331031799</v>
      </c>
      <c r="KF7" s="36">
        <v>47751322</v>
      </c>
      <c r="KG7" s="36">
        <v>1996558</v>
      </c>
      <c r="KH7" s="36">
        <v>1890399</v>
      </c>
      <c r="KI7" s="36">
        <v>106159</v>
      </c>
      <c r="KJ7" s="47">
        <v>0.22281169891357422</v>
      </c>
      <c r="KK7" s="36">
        <v>47196060</v>
      </c>
      <c r="KL7" s="36">
        <v>1535111</v>
      </c>
      <c r="KM7" s="36">
        <v>2090373</v>
      </c>
      <c r="KN7" s="36">
        <v>-555262</v>
      </c>
      <c r="KO7" s="47">
        <v>-1.1628202199935913</v>
      </c>
      <c r="KP7" s="36">
        <v>47350685</v>
      </c>
      <c r="KQ7" s="36">
        <v>2316499</v>
      </c>
      <c r="KR7" s="36">
        <v>2161874</v>
      </c>
      <c r="KS7" s="36">
        <v>154625</v>
      </c>
      <c r="KT7" s="47">
        <v>0.3276226818561554</v>
      </c>
      <c r="KU7" s="36">
        <v>47791185</v>
      </c>
      <c r="KV7" s="36">
        <v>2615813</v>
      </c>
      <c r="KW7" s="36">
        <v>2175313</v>
      </c>
      <c r="KX7" s="36">
        <v>440500</v>
      </c>
      <c r="KY7" s="47">
        <v>0.93029278516769409</v>
      </c>
      <c r="KZ7" s="36">
        <v>47871179</v>
      </c>
      <c r="LA7" s="36">
        <v>2261485</v>
      </c>
      <c r="LB7" s="36">
        <v>2181491</v>
      </c>
      <c r="LC7" s="36">
        <v>79994</v>
      </c>
      <c r="LD7" s="47">
        <v>0.16738232970237732</v>
      </c>
      <c r="LE7" s="36">
        <v>48109131</v>
      </c>
      <c r="LF7" s="36">
        <v>2324143</v>
      </c>
      <c r="LG7" s="36">
        <v>2086191</v>
      </c>
      <c r="LH7" s="36">
        <v>237952</v>
      </c>
      <c r="LI7" s="47">
        <v>0.49706736207008362</v>
      </c>
      <c r="LJ7" s="36">
        <v>48261649</v>
      </c>
      <c r="LK7" s="36">
        <v>2282177</v>
      </c>
      <c r="LL7" s="36">
        <v>2129659</v>
      </c>
      <c r="LM7" s="36">
        <v>152518</v>
      </c>
      <c r="LN7" s="47">
        <v>0.31702506542205811</v>
      </c>
      <c r="LO7" s="36">
        <v>48423279</v>
      </c>
      <c r="LP7" s="36">
        <v>2168192</v>
      </c>
      <c r="LQ7" s="36">
        <v>2006562</v>
      </c>
      <c r="LR7" s="36">
        <v>161630</v>
      </c>
      <c r="LS7" s="47">
        <v>0.33490359783172607</v>
      </c>
      <c r="LT7" s="36">
        <v>48557399</v>
      </c>
      <c r="LU7" s="36">
        <v>2270294</v>
      </c>
      <c r="LV7" s="36">
        <v>2136174</v>
      </c>
      <c r="LW7" s="36">
        <v>134120</v>
      </c>
      <c r="LX7" s="47">
        <v>0.27697423100471497</v>
      </c>
      <c r="LY7" s="36">
        <v>48709962</v>
      </c>
      <c r="LZ7" s="36">
        <v>2261698</v>
      </c>
      <c r="MA7" s="36">
        <v>2109135</v>
      </c>
      <c r="MB7" s="36">
        <v>152563</v>
      </c>
      <c r="MC7" s="47">
        <v>0.31419104337692261</v>
      </c>
      <c r="MD7" s="36">
        <v>48923929</v>
      </c>
      <c r="ME7" s="36">
        <v>2306664</v>
      </c>
      <c r="MF7" s="36">
        <v>2092697</v>
      </c>
      <c r="MG7" s="36">
        <v>213967</v>
      </c>
      <c r="MH7" s="47">
        <v>0.43926742672920227</v>
      </c>
      <c r="MI7" s="36">
        <v>49017468</v>
      </c>
      <c r="MJ7" s="36">
        <v>2294486</v>
      </c>
      <c r="MK7" s="36">
        <v>2200947</v>
      </c>
      <c r="ML7" s="36">
        <v>93539</v>
      </c>
      <c r="MM7" s="47">
        <v>0.19119274616241455</v>
      </c>
      <c r="MN7" s="36">
        <v>49100609</v>
      </c>
      <c r="MO7" s="36">
        <v>1994656</v>
      </c>
      <c r="MP7" s="36">
        <v>1911515</v>
      </c>
      <c r="MQ7" s="36">
        <v>83141</v>
      </c>
      <c r="MR7" s="47">
        <v>0.16961504518985748</v>
      </c>
      <c r="MS7" s="36">
        <v>48469261</v>
      </c>
      <c r="MT7" s="36">
        <v>1534597</v>
      </c>
      <c r="MU7" s="36">
        <v>2165945</v>
      </c>
      <c r="MV7" s="36">
        <v>-631348</v>
      </c>
      <c r="MW7" s="47">
        <v>-1.2858251333236694</v>
      </c>
      <c r="MX7" s="36">
        <v>48586042</v>
      </c>
      <c r="MY7" s="36">
        <v>2243317</v>
      </c>
      <c r="MZ7" s="36">
        <v>2126536</v>
      </c>
      <c r="NA7" s="36">
        <v>116781</v>
      </c>
      <c r="NB7" s="47">
        <v>0.24093827605247498</v>
      </c>
      <c r="NC7" s="36">
        <v>48854426</v>
      </c>
      <c r="ND7" s="36">
        <v>2413036</v>
      </c>
      <c r="NE7" s="36">
        <v>2144652</v>
      </c>
      <c r="NF7" s="36">
        <v>268384</v>
      </c>
      <c r="NG7" s="47">
        <v>0.55238908529281616</v>
      </c>
      <c r="NH7" s="36">
        <v>49082634</v>
      </c>
      <c r="NI7" s="36">
        <v>2526660</v>
      </c>
      <c r="NJ7" s="36">
        <v>2298452</v>
      </c>
      <c r="NK7" s="36">
        <v>228208</v>
      </c>
      <c r="NL7" s="47">
        <v>0.46711838245391846</v>
      </c>
      <c r="NM7" s="36">
        <f>SUM(ND7,MY7,NI7)</f>
        <v>7183013</v>
      </c>
      <c r="NN7" s="36">
        <f t="shared" ref="NN7:NO7" si="0">SUM(NE7,MZ7,NJ7)</f>
        <v>6569640</v>
      </c>
      <c r="NO7" s="36">
        <f t="shared" si="0"/>
        <v>613373</v>
      </c>
      <c r="NP7" s="47">
        <f>(NO7/MS7)*100</f>
        <v>1.2654886568210726</v>
      </c>
      <c r="NQ7" s="36">
        <f>SUM(MT7,MO7,MJ7,ME7,LZ7,LU7,LP7,LK7,LF7,MY7,ND7,NI7)</f>
        <v>26619920</v>
      </c>
      <c r="NR7" s="36">
        <f t="shared" ref="NR7:NS7" si="1">SUM(MU7,MP7,MK7,MF7,MA7,LV7,LQ7,LL7,LG7,MZ7,NE7,NJ7)</f>
        <v>25408465</v>
      </c>
      <c r="NS7" s="36">
        <f t="shared" si="1"/>
        <v>1211455</v>
      </c>
      <c r="NT7" s="47">
        <f>NS7/(NH7-NS7)*100</f>
        <v>2.5306562848598317</v>
      </c>
      <c r="NU7" s="97"/>
    </row>
    <row r="8" spans="1:389" s="32" customFormat="1" ht="31.5" customHeight="1" thickTop="1">
      <c r="A8" s="31"/>
      <c r="B8" s="53" t="s">
        <v>7</v>
      </c>
      <c r="C8" s="52">
        <v>1520180</v>
      </c>
      <c r="D8" s="52">
        <v>80133</v>
      </c>
      <c r="E8" s="52">
        <v>63462</v>
      </c>
      <c r="F8" s="52">
        <v>16671</v>
      </c>
      <c r="G8" s="52">
        <v>1522267</v>
      </c>
      <c r="H8" s="52">
        <v>79971</v>
      </c>
      <c r="I8" s="52">
        <v>77884</v>
      </c>
      <c r="J8" s="52">
        <v>2087</v>
      </c>
      <c r="K8" s="54">
        <v>0.13728637993335724</v>
      </c>
      <c r="L8" s="52">
        <v>1514850</v>
      </c>
      <c r="M8" s="52">
        <v>76544</v>
      </c>
      <c r="N8" s="52">
        <v>83961</v>
      </c>
      <c r="O8" s="52">
        <v>-7417</v>
      </c>
      <c r="P8" s="54">
        <v>-0.48723384737968445</v>
      </c>
      <c r="Q8" s="52">
        <v>1506493</v>
      </c>
      <c r="R8" s="52">
        <v>57207</v>
      </c>
      <c r="S8" s="52">
        <v>65564</v>
      </c>
      <c r="T8" s="52">
        <v>-8357</v>
      </c>
      <c r="U8" s="54">
        <v>-0.55167180299758911</v>
      </c>
      <c r="V8" s="52">
        <v>1521488</v>
      </c>
      <c r="W8" s="52">
        <v>75502</v>
      </c>
      <c r="X8" s="52">
        <v>60507</v>
      </c>
      <c r="Y8" s="52">
        <v>14995</v>
      </c>
      <c r="Z8" s="54">
        <v>0.99535810947418213</v>
      </c>
      <c r="AA8" s="52">
        <v>1559249</v>
      </c>
      <c r="AB8" s="52">
        <v>90078</v>
      </c>
      <c r="AC8" s="52">
        <v>52317</v>
      </c>
      <c r="AD8" s="52">
        <v>37761</v>
      </c>
      <c r="AE8" s="54">
        <v>2.481846809387207</v>
      </c>
      <c r="AF8" s="52">
        <v>1580536</v>
      </c>
      <c r="AG8" s="52">
        <v>79416</v>
      </c>
      <c r="AH8" s="52">
        <v>58129</v>
      </c>
      <c r="AI8" s="52">
        <v>21287</v>
      </c>
      <c r="AJ8" s="54">
        <v>1.3652085065841675</v>
      </c>
      <c r="AK8" s="52">
        <v>1588142</v>
      </c>
      <c r="AL8" s="52">
        <v>71918</v>
      </c>
      <c r="AM8" s="52">
        <v>64312</v>
      </c>
      <c r="AN8" s="52">
        <v>7606</v>
      </c>
      <c r="AO8" s="54">
        <v>0.48122915625572205</v>
      </c>
      <c r="AP8" s="52">
        <v>1593458</v>
      </c>
      <c r="AQ8" s="52">
        <v>75369</v>
      </c>
      <c r="AR8" s="52">
        <v>70053</v>
      </c>
      <c r="AS8" s="52">
        <v>5316</v>
      </c>
      <c r="AT8" s="54">
        <v>0.33473077416419983</v>
      </c>
      <c r="AU8" s="52">
        <v>1589110</v>
      </c>
      <c r="AV8" s="52">
        <v>72458</v>
      </c>
      <c r="AW8" s="52">
        <v>76806</v>
      </c>
      <c r="AX8" s="52">
        <v>-4348</v>
      </c>
      <c r="AY8" s="54">
        <v>-0.27286568284034729</v>
      </c>
      <c r="AZ8" s="52">
        <v>1569461</v>
      </c>
      <c r="BA8" s="52">
        <v>64329</v>
      </c>
      <c r="BB8" s="52">
        <v>83978</v>
      </c>
      <c r="BC8" s="52">
        <v>-19649</v>
      </c>
      <c r="BD8" s="54">
        <v>-1.236478328704834</v>
      </c>
      <c r="BE8" s="52">
        <v>1540414</v>
      </c>
      <c r="BF8" s="52">
        <v>52515</v>
      </c>
      <c r="BG8" s="52">
        <v>81562</v>
      </c>
      <c r="BH8" s="52">
        <v>-29047</v>
      </c>
      <c r="BI8" s="54">
        <v>-1.8507627248764038</v>
      </c>
      <c r="BJ8" s="52">
        <v>1576857</v>
      </c>
      <c r="BK8" s="52">
        <v>103879</v>
      </c>
      <c r="BL8" s="52">
        <v>67436</v>
      </c>
      <c r="BM8" s="52">
        <v>36443</v>
      </c>
      <c r="BN8" s="54">
        <v>2.3657925128936768</v>
      </c>
      <c r="BO8" s="52">
        <v>1601761</v>
      </c>
      <c r="BP8" s="52">
        <v>102671</v>
      </c>
      <c r="BQ8" s="52">
        <v>77767</v>
      </c>
      <c r="BR8" s="52">
        <v>24904</v>
      </c>
      <c r="BS8" s="54">
        <v>1.5793442726135254</v>
      </c>
      <c r="BT8" s="52">
        <v>1605118</v>
      </c>
      <c r="BU8" s="52">
        <v>103198</v>
      </c>
      <c r="BV8" s="52">
        <v>99841</v>
      </c>
      <c r="BW8" s="52">
        <v>3357</v>
      </c>
      <c r="BX8" s="54">
        <v>0.20958182215690613</v>
      </c>
      <c r="BY8" s="52">
        <v>1615387</v>
      </c>
      <c r="BZ8" s="52">
        <v>97687</v>
      </c>
      <c r="CA8" s="52">
        <v>87418</v>
      </c>
      <c r="CB8" s="52">
        <v>10269</v>
      </c>
      <c r="CC8" s="54">
        <v>0.63976603746414185</v>
      </c>
      <c r="CD8" s="52">
        <v>1653655</v>
      </c>
      <c r="CE8" s="52">
        <v>118115</v>
      </c>
      <c r="CF8" s="52">
        <v>79847</v>
      </c>
      <c r="CG8" s="52">
        <v>38268</v>
      </c>
      <c r="CH8" s="54">
        <v>2.3689680099487305</v>
      </c>
      <c r="CI8" s="52">
        <v>1693007</v>
      </c>
      <c r="CJ8" s="52">
        <v>117060</v>
      </c>
      <c r="CK8" s="52">
        <v>77708</v>
      </c>
      <c r="CL8" s="52">
        <v>39352</v>
      </c>
      <c r="CM8" s="54">
        <v>2.3796982765197754</v>
      </c>
      <c r="CN8" s="52">
        <v>1718701</v>
      </c>
      <c r="CO8" s="52">
        <v>104567</v>
      </c>
      <c r="CP8" s="52">
        <v>78873</v>
      </c>
      <c r="CQ8" s="52">
        <v>25694</v>
      </c>
      <c r="CR8" s="54">
        <v>1.5176546573638916</v>
      </c>
      <c r="CS8" s="52">
        <v>1729276</v>
      </c>
      <c r="CT8" s="52">
        <v>94231</v>
      </c>
      <c r="CU8" s="52">
        <v>83656</v>
      </c>
      <c r="CV8" s="52">
        <v>10575</v>
      </c>
      <c r="CW8" s="54">
        <v>0.61529028415679932</v>
      </c>
      <c r="CX8" s="52">
        <v>1740306</v>
      </c>
      <c r="CY8" s="52">
        <v>100324</v>
      </c>
      <c r="CZ8" s="52">
        <v>89294</v>
      </c>
      <c r="DA8" s="52">
        <v>11030</v>
      </c>
      <c r="DB8" s="54">
        <v>0.63783919811248779</v>
      </c>
      <c r="DC8" s="52">
        <v>1734059</v>
      </c>
      <c r="DD8" s="52">
        <v>90013</v>
      </c>
      <c r="DE8" s="52">
        <v>96260</v>
      </c>
      <c r="DF8" s="52">
        <v>-6247</v>
      </c>
      <c r="DG8" s="54">
        <v>-0.3589598536491394</v>
      </c>
      <c r="DH8" s="52">
        <v>1714602</v>
      </c>
      <c r="DI8" s="52">
        <v>77999</v>
      </c>
      <c r="DJ8" s="52">
        <v>97456</v>
      </c>
      <c r="DK8" s="52">
        <v>-19457</v>
      </c>
      <c r="DL8" s="54">
        <v>-1.1220494508743286</v>
      </c>
      <c r="DM8" s="52">
        <v>1686608</v>
      </c>
      <c r="DN8" s="52">
        <v>65276</v>
      </c>
      <c r="DO8" s="52">
        <v>93270</v>
      </c>
      <c r="DP8" s="52">
        <v>-27994</v>
      </c>
      <c r="DQ8" s="54">
        <v>-1.6326820850372314</v>
      </c>
      <c r="DR8" s="52">
        <v>1712195</v>
      </c>
      <c r="DS8" s="52">
        <v>110212</v>
      </c>
      <c r="DT8" s="52">
        <v>84625</v>
      </c>
      <c r="DU8" s="52">
        <v>25587</v>
      </c>
      <c r="DV8" s="54">
        <v>1.51706862449646</v>
      </c>
      <c r="DW8" s="52">
        <v>1730111</v>
      </c>
      <c r="DX8" s="52">
        <v>107846</v>
      </c>
      <c r="DY8" s="52">
        <v>89930</v>
      </c>
      <c r="DZ8" s="52">
        <v>17916</v>
      </c>
      <c r="EA8" s="54">
        <v>1.04637610912323</v>
      </c>
      <c r="EB8" s="52">
        <v>1711287</v>
      </c>
      <c r="EC8" s="52">
        <v>101331</v>
      </c>
      <c r="ED8" s="52">
        <v>120155</v>
      </c>
      <c r="EE8" s="52">
        <v>-18824</v>
      </c>
      <c r="EF8" s="54">
        <v>-1.0880227088928223</v>
      </c>
      <c r="EG8" s="52">
        <v>1711164</v>
      </c>
      <c r="EH8" s="52">
        <v>98428</v>
      </c>
      <c r="EI8" s="52">
        <v>98551</v>
      </c>
      <c r="EJ8" s="52">
        <v>-123</v>
      </c>
      <c r="EK8" s="54">
        <v>-7.1875727735459805E-3</v>
      </c>
      <c r="EL8" s="52">
        <v>1739401</v>
      </c>
      <c r="EM8" s="52">
        <v>124190</v>
      </c>
      <c r="EN8" s="52">
        <v>95953</v>
      </c>
      <c r="EO8" s="52">
        <v>28237</v>
      </c>
      <c r="EP8" s="54">
        <v>1.6501632928848267</v>
      </c>
      <c r="EQ8" s="52">
        <v>1775457</v>
      </c>
      <c r="ER8" s="52">
        <v>126096</v>
      </c>
      <c r="ES8" s="52">
        <v>90040</v>
      </c>
      <c r="ET8" s="52">
        <v>36056</v>
      </c>
      <c r="EU8" s="54">
        <v>2.0728974342346191</v>
      </c>
      <c r="EV8" s="52">
        <v>1791679</v>
      </c>
      <c r="EW8" s="52">
        <v>106025</v>
      </c>
      <c r="EX8" s="52">
        <v>89803</v>
      </c>
      <c r="EY8" s="52">
        <v>16222</v>
      </c>
      <c r="EZ8" s="54">
        <v>0.91368025541305542</v>
      </c>
      <c r="FA8" s="52">
        <v>1799699</v>
      </c>
      <c r="FB8" s="52">
        <v>105583</v>
      </c>
      <c r="FC8" s="52">
        <v>97563</v>
      </c>
      <c r="FD8" s="52">
        <v>8020</v>
      </c>
      <c r="FE8" s="54">
        <v>0.44762483239173889</v>
      </c>
      <c r="FF8" s="52">
        <v>1809389</v>
      </c>
      <c r="FG8" s="52">
        <v>101929</v>
      </c>
      <c r="FH8" s="52">
        <v>92239</v>
      </c>
      <c r="FI8" s="52">
        <v>9690</v>
      </c>
      <c r="FJ8" s="54">
        <v>0.53842335939407349</v>
      </c>
      <c r="FK8" s="52">
        <v>1807549</v>
      </c>
      <c r="FL8" s="52">
        <v>92642</v>
      </c>
      <c r="FM8" s="52">
        <v>94482</v>
      </c>
      <c r="FN8" s="52">
        <v>-1840</v>
      </c>
      <c r="FO8" s="54">
        <v>-0.10169178992509842</v>
      </c>
      <c r="FP8" s="52">
        <v>1788603</v>
      </c>
      <c r="FQ8" s="52">
        <v>81321</v>
      </c>
      <c r="FR8" s="52">
        <v>100267</v>
      </c>
      <c r="FS8" s="52">
        <v>-18946</v>
      </c>
      <c r="FT8" s="54">
        <v>-1.0481597185134888</v>
      </c>
      <c r="FU8" s="52">
        <v>1750278</v>
      </c>
      <c r="FV8" s="52">
        <v>64612</v>
      </c>
      <c r="FW8" s="52">
        <v>102937</v>
      </c>
      <c r="FX8" s="52">
        <v>-38325</v>
      </c>
      <c r="FY8" s="54">
        <v>-2.1427338123321533</v>
      </c>
      <c r="FZ8" s="52">
        <v>1774720</v>
      </c>
      <c r="GA8" s="52">
        <v>114095</v>
      </c>
      <c r="GB8" s="52">
        <v>89653</v>
      </c>
      <c r="GC8" s="52">
        <v>24442</v>
      </c>
      <c r="GD8" s="54">
        <v>1.3964638710021973</v>
      </c>
      <c r="GE8" s="52">
        <v>1791146</v>
      </c>
      <c r="GF8" s="52">
        <v>106244</v>
      </c>
      <c r="GG8" s="52">
        <v>89818</v>
      </c>
      <c r="GH8" s="52">
        <v>16426</v>
      </c>
      <c r="GI8" s="54">
        <v>0.92555445432662964</v>
      </c>
      <c r="GJ8" s="52">
        <v>1789710</v>
      </c>
      <c r="GK8" s="52">
        <v>119170</v>
      </c>
      <c r="GL8" s="52">
        <v>120606</v>
      </c>
      <c r="GM8" s="52">
        <v>-1436</v>
      </c>
      <c r="GN8" s="54">
        <v>-8.0172136425971985E-2</v>
      </c>
      <c r="GO8" s="52">
        <v>1790949</v>
      </c>
      <c r="GP8" s="52">
        <v>105313</v>
      </c>
      <c r="GQ8" s="52">
        <v>104074</v>
      </c>
      <c r="GR8" s="52">
        <v>1239</v>
      </c>
      <c r="GS8" s="54">
        <v>6.9229096174240112E-2</v>
      </c>
      <c r="GT8" s="52">
        <v>1810588</v>
      </c>
      <c r="GU8" s="52">
        <v>129798</v>
      </c>
      <c r="GV8" s="52">
        <v>110159</v>
      </c>
      <c r="GW8" s="52">
        <v>19639</v>
      </c>
      <c r="GX8" s="54">
        <v>1.0965694189071655</v>
      </c>
      <c r="GY8" s="52">
        <v>1838164</v>
      </c>
      <c r="GZ8" s="52">
        <v>127275</v>
      </c>
      <c r="HA8" s="52">
        <v>99699</v>
      </c>
      <c r="HB8" s="52">
        <v>27576</v>
      </c>
      <c r="HC8" s="54">
        <v>1.5230411291122437</v>
      </c>
      <c r="HD8" s="52">
        <v>1851379</v>
      </c>
      <c r="HE8" s="52">
        <v>105340</v>
      </c>
      <c r="HF8" s="52">
        <v>92125</v>
      </c>
      <c r="HG8" s="52">
        <v>13215</v>
      </c>
      <c r="HH8" s="54">
        <v>0.71892386674880981</v>
      </c>
      <c r="HI8" s="52">
        <v>1856474</v>
      </c>
      <c r="HJ8" s="52">
        <v>105989</v>
      </c>
      <c r="HK8" s="52">
        <v>100894</v>
      </c>
      <c r="HL8" s="52">
        <v>5095</v>
      </c>
      <c r="HM8" s="54">
        <v>0.27520027756690979</v>
      </c>
      <c r="HN8" s="52">
        <v>1862445</v>
      </c>
      <c r="HO8" s="52">
        <v>98714</v>
      </c>
      <c r="HP8" s="52">
        <v>92743</v>
      </c>
      <c r="HQ8" s="52">
        <v>5971</v>
      </c>
      <c r="HR8" s="54">
        <v>0.32163122296333313</v>
      </c>
      <c r="HS8" s="52">
        <v>1860820</v>
      </c>
      <c r="HT8" s="52">
        <v>95422</v>
      </c>
      <c r="HU8" s="52">
        <v>97047</v>
      </c>
      <c r="HV8" s="52">
        <v>-1625</v>
      </c>
      <c r="HW8" s="54">
        <v>-8.7250895798206329E-2</v>
      </c>
      <c r="HX8" s="52">
        <v>1839333</v>
      </c>
      <c r="HY8" s="52">
        <v>82669</v>
      </c>
      <c r="HZ8" s="52">
        <v>104156</v>
      </c>
      <c r="IA8" s="52">
        <v>-21487</v>
      </c>
      <c r="IB8" s="54">
        <v>-1.1547060012817383</v>
      </c>
      <c r="IC8" s="52">
        <v>1785470</v>
      </c>
      <c r="ID8" s="52">
        <v>62608</v>
      </c>
      <c r="IE8" s="52">
        <v>116471</v>
      </c>
      <c r="IF8" s="52">
        <v>-53863</v>
      </c>
      <c r="IG8" s="54">
        <v>-2.928398609161377</v>
      </c>
      <c r="IH8" s="52">
        <v>1807940</v>
      </c>
      <c r="II8" s="52">
        <v>115432</v>
      </c>
      <c r="IJ8" s="52">
        <v>92962</v>
      </c>
      <c r="IK8" s="52">
        <v>22470</v>
      </c>
      <c r="IL8" s="54">
        <v>1.258492112159729</v>
      </c>
      <c r="IM8" s="52">
        <v>1811636</v>
      </c>
      <c r="IN8" s="52">
        <v>114437</v>
      </c>
      <c r="IO8" s="52">
        <v>110741</v>
      </c>
      <c r="IP8" s="52">
        <v>3696</v>
      </c>
      <c r="IQ8" s="54">
        <v>0.20443156361579895</v>
      </c>
      <c r="IR8" s="52">
        <v>1805738</v>
      </c>
      <c r="IS8" s="52">
        <v>109628</v>
      </c>
      <c r="IT8" s="52">
        <v>115526</v>
      </c>
      <c r="IU8" s="52">
        <v>-5898</v>
      </c>
      <c r="IV8" s="54">
        <v>-0.32556208968162537</v>
      </c>
      <c r="IW8" s="52">
        <v>1812524</v>
      </c>
      <c r="IX8" s="52">
        <v>112446</v>
      </c>
      <c r="IY8" s="52">
        <v>105660</v>
      </c>
      <c r="IZ8" s="52">
        <v>6786</v>
      </c>
      <c r="JA8" s="54">
        <v>0.37580204010009766</v>
      </c>
      <c r="JB8" s="52">
        <v>1833226</v>
      </c>
      <c r="JC8" s="52">
        <v>129605</v>
      </c>
      <c r="JD8" s="52">
        <v>108903</v>
      </c>
      <c r="JE8" s="52">
        <v>20702</v>
      </c>
      <c r="JF8" s="54">
        <v>1.1421642303466797</v>
      </c>
      <c r="JG8" s="52">
        <v>1860893</v>
      </c>
      <c r="JH8" s="52">
        <v>117698</v>
      </c>
      <c r="JI8" s="52">
        <v>90031</v>
      </c>
      <c r="JJ8" s="52">
        <v>27667</v>
      </c>
      <c r="JK8" s="54">
        <v>1.509197473526001</v>
      </c>
      <c r="JL8" s="52">
        <v>1868104</v>
      </c>
      <c r="JM8" s="52">
        <v>104592</v>
      </c>
      <c r="JN8" s="52">
        <v>97381</v>
      </c>
      <c r="JO8" s="52">
        <v>7211</v>
      </c>
      <c r="JP8" s="54">
        <v>0.38750213384628296</v>
      </c>
      <c r="JQ8" s="52">
        <v>1870152</v>
      </c>
      <c r="JR8" s="52">
        <v>98361</v>
      </c>
      <c r="JS8" s="52">
        <v>96313</v>
      </c>
      <c r="JT8" s="52">
        <v>2048</v>
      </c>
      <c r="JU8" s="54">
        <v>0.10962986946105957</v>
      </c>
      <c r="JV8" s="52">
        <v>1868434</v>
      </c>
      <c r="JW8" s="52">
        <v>92439</v>
      </c>
      <c r="JX8" s="52">
        <v>94157</v>
      </c>
      <c r="JY8" s="52">
        <v>-1718</v>
      </c>
      <c r="JZ8" s="54">
        <v>-9.1864190995693207E-2</v>
      </c>
      <c r="KA8" s="52">
        <v>1862967</v>
      </c>
      <c r="KB8" s="52">
        <v>95778</v>
      </c>
      <c r="KC8" s="52">
        <v>101245</v>
      </c>
      <c r="KD8" s="52">
        <v>-5467</v>
      </c>
      <c r="KE8" s="54">
        <v>-0.29259797930717468</v>
      </c>
      <c r="KF8" s="52">
        <v>1843730</v>
      </c>
      <c r="KG8" s="52">
        <v>82006</v>
      </c>
      <c r="KH8" s="52">
        <v>101243</v>
      </c>
      <c r="KI8" s="52">
        <v>-19237</v>
      </c>
      <c r="KJ8" s="54">
        <v>-1.0326001644134521</v>
      </c>
      <c r="KK8" s="52">
        <v>1796832</v>
      </c>
      <c r="KL8" s="52">
        <v>63656</v>
      </c>
      <c r="KM8" s="52">
        <v>110554</v>
      </c>
      <c r="KN8" s="52">
        <v>-46898</v>
      </c>
      <c r="KO8" s="54">
        <v>-2.5436480045318604</v>
      </c>
      <c r="KP8" s="52">
        <v>1833978</v>
      </c>
      <c r="KQ8" s="52">
        <v>130534</v>
      </c>
      <c r="KR8" s="52">
        <v>93388</v>
      </c>
      <c r="KS8" s="52">
        <v>37146</v>
      </c>
      <c r="KT8" s="54">
        <v>2.0673050880432129</v>
      </c>
      <c r="KU8" s="52">
        <v>1854405</v>
      </c>
      <c r="KV8" s="52">
        <v>121702</v>
      </c>
      <c r="KW8" s="52">
        <v>101275</v>
      </c>
      <c r="KX8" s="52">
        <v>20427</v>
      </c>
      <c r="KY8" s="54">
        <v>1.1138083934783936</v>
      </c>
      <c r="KZ8" s="52">
        <v>1849426</v>
      </c>
      <c r="LA8" s="52">
        <v>106302</v>
      </c>
      <c r="LB8" s="52">
        <v>111281</v>
      </c>
      <c r="LC8" s="52">
        <v>-4979</v>
      </c>
      <c r="LD8" s="54">
        <v>-0.2684958279132843</v>
      </c>
      <c r="LE8" s="52">
        <v>1853191</v>
      </c>
      <c r="LF8" s="52">
        <v>108191</v>
      </c>
      <c r="LG8" s="52">
        <v>104426</v>
      </c>
      <c r="LH8" s="52">
        <v>3765</v>
      </c>
      <c r="LI8" s="54">
        <v>0.20357668399810791</v>
      </c>
      <c r="LJ8" s="52">
        <v>1871526</v>
      </c>
      <c r="LK8" s="52">
        <v>123581</v>
      </c>
      <c r="LL8" s="52">
        <v>105246</v>
      </c>
      <c r="LM8" s="52">
        <v>18335</v>
      </c>
      <c r="LN8" s="54">
        <v>0.98937451839447021</v>
      </c>
      <c r="LO8" s="52">
        <v>1898105</v>
      </c>
      <c r="LP8" s="52">
        <v>117093</v>
      </c>
      <c r="LQ8" s="52">
        <v>90514</v>
      </c>
      <c r="LR8" s="52">
        <v>26579</v>
      </c>
      <c r="LS8" s="54">
        <v>1.4201779365539551</v>
      </c>
      <c r="LT8" s="52">
        <v>1907573</v>
      </c>
      <c r="LU8" s="52">
        <v>110071</v>
      </c>
      <c r="LV8" s="52">
        <v>100603</v>
      </c>
      <c r="LW8" s="52">
        <v>9468</v>
      </c>
      <c r="LX8" s="54">
        <v>0.49881330132484436</v>
      </c>
      <c r="LY8" s="52">
        <v>1905268</v>
      </c>
      <c r="LZ8" s="52">
        <v>97490</v>
      </c>
      <c r="MA8" s="52">
        <v>99795</v>
      </c>
      <c r="MB8" s="52">
        <v>-2305</v>
      </c>
      <c r="MC8" s="54">
        <v>-0.12083417177200317</v>
      </c>
      <c r="MD8" s="52">
        <v>1908694</v>
      </c>
      <c r="ME8" s="52">
        <v>97367</v>
      </c>
      <c r="MF8" s="52">
        <v>93941</v>
      </c>
      <c r="MG8" s="52">
        <v>3426</v>
      </c>
      <c r="MH8" s="54">
        <v>0.17981722950935364</v>
      </c>
      <c r="MI8" s="52">
        <v>1899376</v>
      </c>
      <c r="MJ8" s="52">
        <v>95413</v>
      </c>
      <c r="MK8" s="52">
        <v>104731</v>
      </c>
      <c r="ML8" s="52">
        <v>-9318</v>
      </c>
      <c r="MM8" s="54">
        <v>-0.48818722367286682</v>
      </c>
      <c r="MN8" s="52">
        <v>1882969</v>
      </c>
      <c r="MO8" s="52">
        <v>78021</v>
      </c>
      <c r="MP8" s="52">
        <v>94428</v>
      </c>
      <c r="MQ8" s="52">
        <v>-16407</v>
      </c>
      <c r="MR8" s="54">
        <v>-0.86381000280380249</v>
      </c>
      <c r="MS8" s="52">
        <v>1838661</v>
      </c>
      <c r="MT8" s="52">
        <v>63594</v>
      </c>
      <c r="MU8" s="52">
        <v>107902</v>
      </c>
      <c r="MV8" s="52">
        <v>-44308</v>
      </c>
      <c r="MW8" s="54">
        <v>-2.3530924320220947</v>
      </c>
      <c r="MX8" s="52">
        <v>1862624</v>
      </c>
      <c r="MY8" s="52">
        <v>115232</v>
      </c>
      <c r="MZ8" s="52">
        <v>91269</v>
      </c>
      <c r="NA8" s="52">
        <v>23963</v>
      </c>
      <c r="NB8" s="54">
        <v>1.3032853603363037</v>
      </c>
      <c r="NC8" s="52">
        <v>1871509</v>
      </c>
      <c r="ND8" s="52">
        <v>112630</v>
      </c>
      <c r="NE8" s="52">
        <v>103745</v>
      </c>
      <c r="NF8" s="52">
        <v>8885</v>
      </c>
      <c r="NG8" s="54">
        <v>0.47701522707939148</v>
      </c>
      <c r="NH8" s="52">
        <v>1853413</v>
      </c>
      <c r="NI8" s="52">
        <v>109101</v>
      </c>
      <c r="NJ8" s="52">
        <v>127197</v>
      </c>
      <c r="NK8" s="52">
        <v>-18096</v>
      </c>
      <c r="NL8" s="54">
        <v>-0.96692025661468506</v>
      </c>
      <c r="NM8" s="52">
        <f t="shared" ref="NM8:NM10" si="2">SUM(ND8,MY8,NI8)</f>
        <v>336963</v>
      </c>
      <c r="NN8" s="52">
        <f t="shared" ref="NN8:NN10" si="3">SUM(NE8,MZ8,NJ8)</f>
        <v>322211</v>
      </c>
      <c r="NO8" s="52">
        <f t="shared" ref="NO8:NO10" si="4">SUM(NF8,NA8,NK8)</f>
        <v>14752</v>
      </c>
      <c r="NP8" s="54">
        <f t="shared" ref="NP8:NP10" si="5">(NO8/MS8)*100</f>
        <v>0.802322994831565</v>
      </c>
      <c r="NQ8" s="52">
        <f t="shared" ref="NQ8:NQ10" si="6">SUM(MT8,MO8,MJ8,ME8,LZ8,LU8,LP8,LK8,LF8,MY8,ND8,NI8)</f>
        <v>1227784</v>
      </c>
      <c r="NR8" s="52">
        <f t="shared" ref="NR8:NR10" si="7">SUM(MU8,MP8,MK8,MF8,MA8,LV8,LQ8,LL8,LG8,MZ8,NE8,NJ8)</f>
        <v>1223797</v>
      </c>
      <c r="NS8" s="52">
        <f t="shared" ref="NS8:NS10" si="8">SUM(MV8,MQ8,ML8,MG8,MB8,LW8,LR8,LM8,LH8,NA8,NF8,NK8)</f>
        <v>3987</v>
      </c>
      <c r="NT8" s="54">
        <f t="shared" ref="NT8:NT10" si="9">NS8/(NH8-NS8)*100</f>
        <v>0.2155804017030149</v>
      </c>
      <c r="NU8" s="97"/>
      <c r="NY8" s="99"/>
    </row>
    <row r="9" spans="1:389" s="32" customFormat="1" ht="31.5" customHeight="1">
      <c r="A9" s="43"/>
      <c r="B9" s="53" t="s">
        <v>8</v>
      </c>
      <c r="C9" s="52">
        <v>7780178</v>
      </c>
      <c r="D9" s="52">
        <v>254977</v>
      </c>
      <c r="E9" s="52">
        <v>197138</v>
      </c>
      <c r="F9" s="52">
        <v>57839</v>
      </c>
      <c r="G9" s="52">
        <v>7821433</v>
      </c>
      <c r="H9" s="52">
        <v>266777</v>
      </c>
      <c r="I9" s="52">
        <v>225522</v>
      </c>
      <c r="J9" s="52">
        <v>41255</v>
      </c>
      <c r="K9" s="54">
        <v>0.53025776147842407</v>
      </c>
      <c r="L9" s="52">
        <v>7776130</v>
      </c>
      <c r="M9" s="52">
        <v>237843</v>
      </c>
      <c r="N9" s="52">
        <v>283146</v>
      </c>
      <c r="O9" s="52">
        <v>-45303</v>
      </c>
      <c r="P9" s="54">
        <v>-0.5792161226272583</v>
      </c>
      <c r="Q9" s="52">
        <v>7559910</v>
      </c>
      <c r="R9" s="52">
        <v>100687</v>
      </c>
      <c r="S9" s="52">
        <v>316907</v>
      </c>
      <c r="T9" s="52">
        <v>-216220</v>
      </c>
      <c r="U9" s="54">
        <v>-2.7805604934692383</v>
      </c>
      <c r="V9" s="52">
        <v>7452423</v>
      </c>
      <c r="W9" s="52">
        <v>106363</v>
      </c>
      <c r="X9" s="52">
        <v>213850</v>
      </c>
      <c r="Y9" s="52">
        <v>-107487</v>
      </c>
      <c r="Z9" s="54">
        <v>-1.4218026399612427</v>
      </c>
      <c r="AA9" s="52">
        <v>7443593</v>
      </c>
      <c r="AB9" s="52">
        <v>152059</v>
      </c>
      <c r="AC9" s="52">
        <v>160889</v>
      </c>
      <c r="AD9" s="52">
        <v>-8830</v>
      </c>
      <c r="AE9" s="54">
        <v>-0.11848495155572891</v>
      </c>
      <c r="AF9" s="52">
        <v>7493756</v>
      </c>
      <c r="AG9" s="52">
        <v>215512</v>
      </c>
      <c r="AH9" s="52">
        <v>165349</v>
      </c>
      <c r="AI9" s="52">
        <v>50163</v>
      </c>
      <c r="AJ9" s="54">
        <v>0.67390841245651245</v>
      </c>
      <c r="AK9" s="52">
        <v>7583737</v>
      </c>
      <c r="AL9" s="52">
        <v>263697</v>
      </c>
      <c r="AM9" s="52">
        <v>173716</v>
      </c>
      <c r="AN9" s="52">
        <v>89981</v>
      </c>
      <c r="AO9" s="54">
        <v>1.2007462978363037</v>
      </c>
      <c r="AP9" s="52">
        <v>7695254</v>
      </c>
      <c r="AQ9" s="52">
        <v>306879</v>
      </c>
      <c r="AR9" s="52">
        <v>195362</v>
      </c>
      <c r="AS9" s="52">
        <v>111517</v>
      </c>
      <c r="AT9" s="54">
        <v>1.4704755544662476</v>
      </c>
      <c r="AU9" s="52">
        <v>7778826</v>
      </c>
      <c r="AV9" s="52">
        <v>296776</v>
      </c>
      <c r="AW9" s="52">
        <v>213204</v>
      </c>
      <c r="AX9" s="52">
        <v>83572</v>
      </c>
      <c r="AY9" s="54">
        <v>1.0860199928283691</v>
      </c>
      <c r="AZ9" s="52">
        <v>7823539</v>
      </c>
      <c r="BA9" s="52">
        <v>263370</v>
      </c>
      <c r="BB9" s="52">
        <v>218657</v>
      </c>
      <c r="BC9" s="52">
        <v>44713</v>
      </c>
      <c r="BD9" s="54">
        <v>0.57480394840240479</v>
      </c>
      <c r="BE9" s="52">
        <v>7771285</v>
      </c>
      <c r="BF9" s="52">
        <v>180587</v>
      </c>
      <c r="BG9" s="52">
        <v>232841</v>
      </c>
      <c r="BH9" s="52">
        <v>-52254</v>
      </c>
      <c r="BI9" s="54">
        <v>-0.6679074764251709</v>
      </c>
      <c r="BJ9" s="52">
        <v>7862400</v>
      </c>
      <c r="BK9" s="52">
        <v>312965</v>
      </c>
      <c r="BL9" s="52">
        <v>221850</v>
      </c>
      <c r="BM9" s="52">
        <v>91115</v>
      </c>
      <c r="BN9" s="54">
        <v>1.1724573373794556</v>
      </c>
      <c r="BO9" s="52">
        <v>7955850</v>
      </c>
      <c r="BP9" s="52">
        <v>337322</v>
      </c>
      <c r="BQ9" s="52">
        <v>243872</v>
      </c>
      <c r="BR9" s="52">
        <v>93450</v>
      </c>
      <c r="BS9" s="54">
        <v>1.1885683536529541</v>
      </c>
      <c r="BT9" s="52">
        <v>7993045</v>
      </c>
      <c r="BU9" s="52">
        <v>306159</v>
      </c>
      <c r="BV9" s="52">
        <v>268964</v>
      </c>
      <c r="BW9" s="52">
        <v>37195</v>
      </c>
      <c r="BX9" s="54">
        <v>0.46751761436462402</v>
      </c>
      <c r="BY9" s="52">
        <v>8008117</v>
      </c>
      <c r="BZ9" s="52">
        <v>252825</v>
      </c>
      <c r="CA9" s="52">
        <v>237753</v>
      </c>
      <c r="CB9" s="52">
        <v>15072</v>
      </c>
      <c r="CC9" s="54">
        <v>0.18856392800807953</v>
      </c>
      <c r="CD9" s="52">
        <v>8050874</v>
      </c>
      <c r="CE9" s="52">
        <v>266219</v>
      </c>
      <c r="CF9" s="52">
        <v>223462</v>
      </c>
      <c r="CG9" s="52">
        <v>42757</v>
      </c>
      <c r="CH9" s="54">
        <v>0.5339207649230957</v>
      </c>
      <c r="CI9" s="52">
        <v>8101885</v>
      </c>
      <c r="CJ9" s="52">
        <v>269495</v>
      </c>
      <c r="CK9" s="52">
        <v>218484</v>
      </c>
      <c r="CL9" s="52">
        <v>51011</v>
      </c>
      <c r="CM9" s="54">
        <v>0.63360822200775146</v>
      </c>
      <c r="CN9" s="52">
        <v>8159849</v>
      </c>
      <c r="CO9" s="52">
        <v>288048</v>
      </c>
      <c r="CP9" s="52">
        <v>230084</v>
      </c>
      <c r="CQ9" s="52">
        <v>57964</v>
      </c>
      <c r="CR9" s="54">
        <v>0.71543842554092407</v>
      </c>
      <c r="CS9" s="52">
        <v>8233468</v>
      </c>
      <c r="CT9" s="52">
        <v>319727</v>
      </c>
      <c r="CU9" s="52">
        <v>246108</v>
      </c>
      <c r="CV9" s="52">
        <v>73619</v>
      </c>
      <c r="CW9" s="54">
        <v>0.9022102952003479</v>
      </c>
      <c r="CX9" s="52">
        <v>8309639</v>
      </c>
      <c r="CY9" s="52">
        <v>318978</v>
      </c>
      <c r="CZ9" s="52">
        <v>242807</v>
      </c>
      <c r="DA9" s="52">
        <v>76171</v>
      </c>
      <c r="DB9" s="54">
        <v>0.92513871192932129</v>
      </c>
      <c r="DC9" s="52">
        <v>8335250</v>
      </c>
      <c r="DD9" s="52">
        <v>278521</v>
      </c>
      <c r="DE9" s="52">
        <v>252910</v>
      </c>
      <c r="DF9" s="52">
        <v>25611</v>
      </c>
      <c r="DG9" s="54">
        <v>0.30820834636688232</v>
      </c>
      <c r="DH9" s="52">
        <v>8340957</v>
      </c>
      <c r="DI9" s="52">
        <v>252469</v>
      </c>
      <c r="DJ9" s="52">
        <v>246762</v>
      </c>
      <c r="DK9" s="52">
        <v>5707</v>
      </c>
      <c r="DL9" s="54">
        <v>6.8468250334262848E-2</v>
      </c>
      <c r="DM9" s="52">
        <v>8246570</v>
      </c>
      <c r="DN9" s="52">
        <v>170027</v>
      </c>
      <c r="DO9" s="52">
        <v>264414</v>
      </c>
      <c r="DP9" s="52">
        <v>-94387</v>
      </c>
      <c r="DQ9" s="54">
        <v>-1.1316087245941162</v>
      </c>
      <c r="DR9" s="52">
        <v>8299519</v>
      </c>
      <c r="DS9" s="52">
        <v>292219</v>
      </c>
      <c r="DT9" s="52">
        <v>239270</v>
      </c>
      <c r="DU9" s="52">
        <v>52949</v>
      </c>
      <c r="DV9" s="54">
        <v>0.64207303524017334</v>
      </c>
      <c r="DW9" s="52">
        <v>8343438</v>
      </c>
      <c r="DX9" s="52">
        <v>319446</v>
      </c>
      <c r="DY9" s="52">
        <v>275527</v>
      </c>
      <c r="DZ9" s="52">
        <v>43919</v>
      </c>
      <c r="EA9" s="54">
        <v>0.52917522192001343</v>
      </c>
      <c r="EB9" s="52">
        <v>8348826</v>
      </c>
      <c r="EC9" s="52">
        <v>311844</v>
      </c>
      <c r="ED9" s="52">
        <v>306456</v>
      </c>
      <c r="EE9" s="52">
        <v>5388</v>
      </c>
      <c r="EF9" s="54">
        <v>6.4577698707580566E-2</v>
      </c>
      <c r="EG9" s="52">
        <v>8375156</v>
      </c>
      <c r="EH9" s="52">
        <v>288137</v>
      </c>
      <c r="EI9" s="52">
        <v>261807</v>
      </c>
      <c r="EJ9" s="52">
        <v>26330</v>
      </c>
      <c r="EK9" s="54">
        <v>0.31537368893623352</v>
      </c>
      <c r="EL9" s="52">
        <v>8421063</v>
      </c>
      <c r="EM9" s="52">
        <v>312219</v>
      </c>
      <c r="EN9" s="52">
        <v>266312</v>
      </c>
      <c r="EO9" s="52">
        <v>45907</v>
      </c>
      <c r="EP9" s="54">
        <v>0.54813307523727417</v>
      </c>
      <c r="EQ9" s="52">
        <v>8463241</v>
      </c>
      <c r="ER9" s="52">
        <v>296405</v>
      </c>
      <c r="ES9" s="52">
        <v>254227</v>
      </c>
      <c r="ET9" s="52">
        <v>42178</v>
      </c>
      <c r="EU9" s="54">
        <v>0.50086313486099243</v>
      </c>
      <c r="EV9" s="52">
        <v>8513592</v>
      </c>
      <c r="EW9" s="52">
        <v>305779</v>
      </c>
      <c r="EX9" s="52">
        <v>255428</v>
      </c>
      <c r="EY9" s="52">
        <v>50351</v>
      </c>
      <c r="EZ9" s="54">
        <v>0.59493756294250488</v>
      </c>
      <c r="FA9" s="52">
        <v>8566103</v>
      </c>
      <c r="FB9" s="52">
        <v>326680</v>
      </c>
      <c r="FC9" s="52">
        <v>274169</v>
      </c>
      <c r="FD9" s="52">
        <v>52511</v>
      </c>
      <c r="FE9" s="54">
        <v>0.61679017543792725</v>
      </c>
      <c r="FF9" s="52">
        <v>8622077</v>
      </c>
      <c r="FG9" s="52">
        <v>307890</v>
      </c>
      <c r="FH9" s="52">
        <v>251916</v>
      </c>
      <c r="FI9" s="52">
        <v>55974</v>
      </c>
      <c r="FJ9" s="54">
        <v>0.65343600511550903</v>
      </c>
      <c r="FK9" s="52">
        <v>8636741</v>
      </c>
      <c r="FL9" s="52">
        <v>266279</v>
      </c>
      <c r="FM9" s="52">
        <v>251615</v>
      </c>
      <c r="FN9" s="52">
        <v>14664</v>
      </c>
      <c r="FO9" s="54">
        <v>0.17007502913475037</v>
      </c>
      <c r="FP9" s="52">
        <v>8610417</v>
      </c>
      <c r="FQ9" s="52">
        <v>231534</v>
      </c>
      <c r="FR9" s="52">
        <v>257858</v>
      </c>
      <c r="FS9" s="52">
        <v>-26324</v>
      </c>
      <c r="FT9" s="54">
        <v>-0.30479088425636292</v>
      </c>
      <c r="FU9" s="52">
        <v>8495261</v>
      </c>
      <c r="FV9" s="52">
        <v>158231</v>
      </c>
      <c r="FW9" s="52">
        <v>273387</v>
      </c>
      <c r="FX9" s="52">
        <v>-115156</v>
      </c>
      <c r="FY9" s="54">
        <v>-1.3374032974243164</v>
      </c>
      <c r="FZ9" s="52">
        <v>8530075</v>
      </c>
      <c r="GA9" s="52">
        <v>300726</v>
      </c>
      <c r="GB9" s="52">
        <v>265912</v>
      </c>
      <c r="GC9" s="52">
        <v>34814</v>
      </c>
      <c r="GD9" s="54">
        <v>0.40980494022369385</v>
      </c>
      <c r="GE9" s="52">
        <v>8570353</v>
      </c>
      <c r="GF9" s="52">
        <v>308514</v>
      </c>
      <c r="GG9" s="52">
        <v>268236</v>
      </c>
      <c r="GH9" s="52">
        <v>40278</v>
      </c>
      <c r="GI9" s="54">
        <v>0.47218811511993408</v>
      </c>
      <c r="GJ9" s="52">
        <v>8591517</v>
      </c>
      <c r="GK9" s="52">
        <v>338160</v>
      </c>
      <c r="GL9" s="52">
        <v>316996</v>
      </c>
      <c r="GM9" s="52">
        <v>21164</v>
      </c>
      <c r="GN9" s="54">
        <v>0.24694432318210602</v>
      </c>
      <c r="GO9" s="52">
        <v>8610675</v>
      </c>
      <c r="GP9" s="52">
        <v>294675</v>
      </c>
      <c r="GQ9" s="52">
        <v>275517</v>
      </c>
      <c r="GR9" s="52">
        <v>19158</v>
      </c>
      <c r="GS9" s="54">
        <v>0.22298739850521088</v>
      </c>
      <c r="GT9" s="52">
        <v>8619257</v>
      </c>
      <c r="GU9" s="52">
        <v>308224</v>
      </c>
      <c r="GV9" s="52">
        <v>299642</v>
      </c>
      <c r="GW9" s="52">
        <v>8582</v>
      </c>
      <c r="GX9" s="54">
        <v>9.9666982889175415E-2</v>
      </c>
      <c r="GY9" s="52">
        <v>8631352</v>
      </c>
      <c r="GZ9" s="52">
        <v>290772</v>
      </c>
      <c r="HA9" s="52">
        <v>278677</v>
      </c>
      <c r="HB9" s="52">
        <v>12095</v>
      </c>
      <c r="HC9" s="54">
        <v>0.14032532274723053</v>
      </c>
      <c r="HD9" s="52">
        <v>8652885</v>
      </c>
      <c r="HE9" s="52">
        <v>293230</v>
      </c>
      <c r="HF9" s="52">
        <v>271697</v>
      </c>
      <c r="HG9" s="52">
        <v>21533</v>
      </c>
      <c r="HH9" s="54">
        <v>0.24947424232959747</v>
      </c>
      <c r="HI9" s="52">
        <v>8683986</v>
      </c>
      <c r="HJ9" s="52">
        <v>329371</v>
      </c>
      <c r="HK9" s="52">
        <v>298270</v>
      </c>
      <c r="HL9" s="52">
        <v>31101</v>
      </c>
      <c r="HM9" s="54">
        <v>0.35942924022674561</v>
      </c>
      <c r="HN9" s="52">
        <v>8726453</v>
      </c>
      <c r="HO9" s="52">
        <v>303845</v>
      </c>
      <c r="HP9" s="52">
        <v>261378</v>
      </c>
      <c r="HQ9" s="52">
        <v>42467</v>
      </c>
      <c r="HR9" s="54">
        <v>0.48902657628059387</v>
      </c>
      <c r="HS9" s="52">
        <v>8747091</v>
      </c>
      <c r="HT9" s="52">
        <v>287831</v>
      </c>
      <c r="HU9" s="52">
        <v>267193</v>
      </c>
      <c r="HV9" s="52">
        <v>20638</v>
      </c>
      <c r="HW9" s="54">
        <v>0.23649929463863373</v>
      </c>
      <c r="HX9" s="52">
        <v>8733066</v>
      </c>
      <c r="HY9" s="52">
        <v>251734</v>
      </c>
      <c r="HZ9" s="52">
        <v>265759</v>
      </c>
      <c r="IA9" s="52">
        <v>-14025</v>
      </c>
      <c r="IB9" s="54">
        <v>-0.16033901274204254</v>
      </c>
      <c r="IC9" s="52">
        <v>8620621</v>
      </c>
      <c r="ID9" s="52">
        <v>174235</v>
      </c>
      <c r="IE9" s="52">
        <v>286680</v>
      </c>
      <c r="IF9" s="52">
        <v>-112445</v>
      </c>
      <c r="IG9" s="54">
        <v>-1.2875776290893555</v>
      </c>
      <c r="IH9" s="52">
        <v>8686732</v>
      </c>
      <c r="II9" s="52">
        <v>339828</v>
      </c>
      <c r="IJ9" s="52">
        <v>273717</v>
      </c>
      <c r="IK9" s="52">
        <v>66111</v>
      </c>
      <c r="IL9" s="54">
        <v>0.76689368486404419</v>
      </c>
      <c r="IM9" s="52">
        <v>8740845</v>
      </c>
      <c r="IN9" s="52">
        <v>354952</v>
      </c>
      <c r="IO9" s="52">
        <v>300839</v>
      </c>
      <c r="IP9" s="52">
        <v>54113</v>
      </c>
      <c r="IQ9" s="54">
        <v>0.62293851375579834</v>
      </c>
      <c r="IR9" s="52">
        <v>8776799</v>
      </c>
      <c r="IS9" s="52">
        <v>353157</v>
      </c>
      <c r="IT9" s="52">
        <v>317203</v>
      </c>
      <c r="IU9" s="52">
        <v>35954</v>
      </c>
      <c r="IV9" s="54">
        <v>0.41133323311805725</v>
      </c>
      <c r="IW9" s="52">
        <v>8812990</v>
      </c>
      <c r="IX9" s="52">
        <v>364128</v>
      </c>
      <c r="IY9" s="52">
        <v>327937</v>
      </c>
      <c r="IZ9" s="52">
        <v>36191</v>
      </c>
      <c r="JA9" s="54">
        <v>0.41234850883483887</v>
      </c>
      <c r="JB9" s="52">
        <v>8831625</v>
      </c>
      <c r="JC9" s="52">
        <v>323863</v>
      </c>
      <c r="JD9" s="52">
        <v>305228</v>
      </c>
      <c r="JE9" s="52">
        <v>18635</v>
      </c>
      <c r="JF9" s="54">
        <v>0.21144923567771912</v>
      </c>
      <c r="JG9" s="52">
        <v>8864070</v>
      </c>
      <c r="JH9" s="52">
        <v>322505</v>
      </c>
      <c r="JI9" s="52">
        <v>290060</v>
      </c>
      <c r="JJ9" s="52">
        <v>32445</v>
      </c>
      <c r="JK9" s="54">
        <v>0.36737293004989624</v>
      </c>
      <c r="JL9" s="52">
        <v>8913770</v>
      </c>
      <c r="JM9" s="52">
        <v>357608</v>
      </c>
      <c r="JN9" s="52">
        <v>307908</v>
      </c>
      <c r="JO9" s="52">
        <v>49700</v>
      </c>
      <c r="JP9" s="54">
        <v>0.56069052219390869</v>
      </c>
      <c r="JQ9" s="52">
        <v>8967138</v>
      </c>
      <c r="JR9" s="52">
        <v>366212</v>
      </c>
      <c r="JS9" s="52">
        <v>312844</v>
      </c>
      <c r="JT9" s="52">
        <v>53368</v>
      </c>
      <c r="JU9" s="54">
        <v>0.59871411323547363</v>
      </c>
      <c r="JV9" s="52">
        <v>9027444</v>
      </c>
      <c r="JW9" s="52">
        <v>352937</v>
      </c>
      <c r="JX9" s="52">
        <v>292631</v>
      </c>
      <c r="JY9" s="52">
        <v>60306</v>
      </c>
      <c r="JZ9" s="54">
        <v>0.67252224683761597</v>
      </c>
      <c r="KA9" s="52">
        <v>9050743</v>
      </c>
      <c r="KB9" s="52">
        <v>345973</v>
      </c>
      <c r="KC9" s="52">
        <v>322674</v>
      </c>
      <c r="KD9" s="52">
        <v>23299</v>
      </c>
      <c r="KE9" s="54">
        <v>0.25809076428413391</v>
      </c>
      <c r="KF9" s="52">
        <v>9043996</v>
      </c>
      <c r="KG9" s="52">
        <v>278323</v>
      </c>
      <c r="KH9" s="52">
        <v>285070</v>
      </c>
      <c r="KI9" s="52">
        <v>-6747</v>
      </c>
      <c r="KJ9" s="54">
        <v>-7.4546366930007935E-2</v>
      </c>
      <c r="KK9" s="52">
        <v>8926556</v>
      </c>
      <c r="KL9" s="52">
        <v>177212</v>
      </c>
      <c r="KM9" s="52">
        <v>294652</v>
      </c>
      <c r="KN9" s="52">
        <v>-117440</v>
      </c>
      <c r="KO9" s="54">
        <v>-1.2985410690307617</v>
      </c>
      <c r="KP9" s="52">
        <v>8998262</v>
      </c>
      <c r="KQ9" s="52">
        <v>380403</v>
      </c>
      <c r="KR9" s="52">
        <v>308697</v>
      </c>
      <c r="KS9" s="52">
        <v>71706</v>
      </c>
      <c r="KT9" s="54">
        <v>0.80328851938247681</v>
      </c>
      <c r="KU9" s="52">
        <v>9068927</v>
      </c>
      <c r="KV9" s="52">
        <v>410350</v>
      </c>
      <c r="KW9" s="52">
        <v>339685</v>
      </c>
      <c r="KX9" s="52">
        <v>70665</v>
      </c>
      <c r="KY9" s="54">
        <v>0.78531831502914429</v>
      </c>
      <c r="KZ9" s="52">
        <v>9082721</v>
      </c>
      <c r="LA9" s="52">
        <v>356599</v>
      </c>
      <c r="LB9" s="52">
        <v>342805</v>
      </c>
      <c r="LC9" s="52">
        <v>13794</v>
      </c>
      <c r="LD9" s="54">
        <v>0.1521017849445343</v>
      </c>
      <c r="LE9" s="52">
        <v>9115412</v>
      </c>
      <c r="LF9" s="52">
        <v>364293</v>
      </c>
      <c r="LG9" s="52">
        <v>331602</v>
      </c>
      <c r="LH9" s="52">
        <v>32691</v>
      </c>
      <c r="LI9" s="54">
        <v>0.35992518067359924</v>
      </c>
      <c r="LJ9" s="52">
        <v>9136886</v>
      </c>
      <c r="LK9" s="52">
        <v>347127</v>
      </c>
      <c r="LL9" s="52">
        <v>325653</v>
      </c>
      <c r="LM9" s="52">
        <v>21474</v>
      </c>
      <c r="LN9" s="54">
        <v>0.23557904362678528</v>
      </c>
      <c r="LO9" s="52">
        <v>9155627</v>
      </c>
      <c r="LP9" s="52">
        <v>329611</v>
      </c>
      <c r="LQ9" s="52">
        <v>310870</v>
      </c>
      <c r="LR9" s="52">
        <v>18741</v>
      </c>
      <c r="LS9" s="54">
        <v>0.20511364936828613</v>
      </c>
      <c r="LT9" s="52">
        <v>9180789</v>
      </c>
      <c r="LU9" s="52">
        <v>355537</v>
      </c>
      <c r="LV9" s="52">
        <v>330375</v>
      </c>
      <c r="LW9" s="52">
        <v>25162</v>
      </c>
      <c r="LX9" s="54">
        <v>0.27482551336288452</v>
      </c>
      <c r="LY9" s="52">
        <v>9200130</v>
      </c>
      <c r="LZ9" s="52">
        <v>344869</v>
      </c>
      <c r="MA9" s="52">
        <v>325528</v>
      </c>
      <c r="MB9" s="52">
        <v>19341</v>
      </c>
      <c r="MC9" s="54">
        <v>0.2106681615114212</v>
      </c>
      <c r="MD9" s="52">
        <v>9243339</v>
      </c>
      <c r="ME9" s="52">
        <v>360918</v>
      </c>
      <c r="MF9" s="52">
        <v>317709</v>
      </c>
      <c r="MG9" s="52">
        <v>43209</v>
      </c>
      <c r="MH9" s="54">
        <v>0.46965640783309937</v>
      </c>
      <c r="MI9" s="52">
        <v>9234265</v>
      </c>
      <c r="MJ9" s="52">
        <v>329289</v>
      </c>
      <c r="MK9" s="52">
        <v>338363</v>
      </c>
      <c r="ML9" s="52">
        <v>-9074</v>
      </c>
      <c r="MM9" s="54">
        <v>-9.8167985677719116E-2</v>
      </c>
      <c r="MN9" s="52">
        <v>9206408</v>
      </c>
      <c r="MO9" s="52">
        <v>264095</v>
      </c>
      <c r="MP9" s="52">
        <v>291952</v>
      </c>
      <c r="MQ9" s="52">
        <v>-27857</v>
      </c>
      <c r="MR9" s="54">
        <v>-0.30166992545127869</v>
      </c>
      <c r="MS9" s="52">
        <v>9070046</v>
      </c>
      <c r="MT9" s="52">
        <v>168026</v>
      </c>
      <c r="MU9" s="52">
        <v>304388</v>
      </c>
      <c r="MV9" s="52">
        <v>-136362</v>
      </c>
      <c r="MW9" s="54">
        <v>-1.4811639785766602</v>
      </c>
      <c r="MX9" s="52">
        <v>9124115</v>
      </c>
      <c r="MY9" s="52">
        <v>356996</v>
      </c>
      <c r="MZ9" s="52">
        <v>302927</v>
      </c>
      <c r="NA9" s="52">
        <v>54069</v>
      </c>
      <c r="NB9" s="54">
        <v>0.59612709283828735</v>
      </c>
      <c r="NC9" s="52">
        <v>9157020</v>
      </c>
      <c r="ND9" s="52">
        <v>361381</v>
      </c>
      <c r="NE9" s="52">
        <v>328476</v>
      </c>
      <c r="NF9" s="52">
        <v>32905</v>
      </c>
      <c r="NG9" s="54">
        <v>0.36063772439956665</v>
      </c>
      <c r="NH9" s="52">
        <v>9185356</v>
      </c>
      <c r="NI9" s="52">
        <v>386664</v>
      </c>
      <c r="NJ9" s="52">
        <v>358328</v>
      </c>
      <c r="NK9" s="52">
        <v>28336</v>
      </c>
      <c r="NL9" s="54">
        <v>0.30944564938545227</v>
      </c>
      <c r="NM9" s="52">
        <f t="shared" si="2"/>
        <v>1105041</v>
      </c>
      <c r="NN9" s="52">
        <f t="shared" si="3"/>
        <v>989731</v>
      </c>
      <c r="NO9" s="52">
        <f t="shared" si="4"/>
        <v>115310</v>
      </c>
      <c r="NP9" s="54">
        <f t="shared" si="5"/>
        <v>1.2713276206096418</v>
      </c>
      <c r="NQ9" s="52">
        <f t="shared" si="6"/>
        <v>3968806</v>
      </c>
      <c r="NR9" s="52">
        <f t="shared" si="7"/>
        <v>3866171</v>
      </c>
      <c r="NS9" s="52">
        <f t="shared" si="8"/>
        <v>102635</v>
      </c>
      <c r="NT9" s="54">
        <f t="shared" si="9"/>
        <v>1.1300027822059051</v>
      </c>
      <c r="NU9" s="97"/>
      <c r="NY9" s="99"/>
    </row>
    <row r="10" spans="1:389" ht="31.5" customHeight="1">
      <c r="A10" s="23"/>
      <c r="B10" s="55" t="s">
        <v>9</v>
      </c>
      <c r="C10" s="56">
        <v>222126</v>
      </c>
      <c r="D10" s="56">
        <v>3499</v>
      </c>
      <c r="E10" s="56">
        <v>3401</v>
      </c>
      <c r="F10" s="56">
        <v>98</v>
      </c>
      <c r="G10" s="56">
        <v>223383</v>
      </c>
      <c r="H10" s="56">
        <v>4676</v>
      </c>
      <c r="I10" s="56">
        <v>3419</v>
      </c>
      <c r="J10" s="56">
        <v>1257</v>
      </c>
      <c r="K10" s="58">
        <v>0.56589502096176147</v>
      </c>
      <c r="L10" s="56">
        <v>223198</v>
      </c>
      <c r="M10" s="56">
        <v>3823</v>
      </c>
      <c r="N10" s="56">
        <v>4008</v>
      </c>
      <c r="O10" s="56">
        <v>-185</v>
      </c>
      <c r="P10" s="58">
        <v>-8.2817405462265015E-2</v>
      </c>
      <c r="Q10" s="56">
        <v>221811</v>
      </c>
      <c r="R10" s="56">
        <v>2086</v>
      </c>
      <c r="S10" s="56">
        <v>3473</v>
      </c>
      <c r="T10" s="56">
        <v>-1387</v>
      </c>
      <c r="U10" s="58">
        <v>-0.62142133712768555</v>
      </c>
      <c r="V10" s="56">
        <v>221270</v>
      </c>
      <c r="W10" s="56">
        <v>2635</v>
      </c>
      <c r="X10" s="56">
        <v>3176</v>
      </c>
      <c r="Y10" s="56">
        <v>-541</v>
      </c>
      <c r="Z10" s="58">
        <v>-0.24390134215354919</v>
      </c>
      <c r="AA10" s="56">
        <v>221829</v>
      </c>
      <c r="AB10" s="56">
        <v>3608</v>
      </c>
      <c r="AC10" s="56">
        <v>3049</v>
      </c>
      <c r="AD10" s="56">
        <v>559</v>
      </c>
      <c r="AE10" s="58">
        <v>0.25263252854347229</v>
      </c>
      <c r="AF10" s="56">
        <v>222711</v>
      </c>
      <c r="AG10" s="56">
        <v>4212</v>
      </c>
      <c r="AH10" s="56">
        <v>3330</v>
      </c>
      <c r="AI10" s="56">
        <v>882</v>
      </c>
      <c r="AJ10" s="58">
        <v>0.39760357141494751</v>
      </c>
      <c r="AK10" s="56">
        <v>223601</v>
      </c>
      <c r="AL10" s="56">
        <v>4518</v>
      </c>
      <c r="AM10" s="56">
        <v>3628</v>
      </c>
      <c r="AN10" s="56">
        <v>890</v>
      </c>
      <c r="AO10" s="58">
        <v>0.39962103962898254</v>
      </c>
      <c r="AP10" s="56">
        <v>224493</v>
      </c>
      <c r="AQ10" s="56">
        <v>4753</v>
      </c>
      <c r="AR10" s="56">
        <v>3861</v>
      </c>
      <c r="AS10" s="56">
        <v>892</v>
      </c>
      <c r="AT10" s="58">
        <v>0.39892485737800598</v>
      </c>
      <c r="AU10" s="56">
        <v>225723</v>
      </c>
      <c r="AV10" s="56">
        <v>4845</v>
      </c>
      <c r="AW10" s="56">
        <v>3615</v>
      </c>
      <c r="AX10" s="56">
        <v>1230</v>
      </c>
      <c r="AY10" s="58">
        <v>0.54790127277374268</v>
      </c>
      <c r="AZ10" s="56">
        <v>226816</v>
      </c>
      <c r="BA10" s="56">
        <v>4536</v>
      </c>
      <c r="BB10" s="56">
        <v>3443</v>
      </c>
      <c r="BC10" s="56">
        <v>1093</v>
      </c>
      <c r="BD10" s="58">
        <v>0.48422181606292725</v>
      </c>
      <c r="BE10" s="56">
        <v>226142</v>
      </c>
      <c r="BF10" s="56">
        <v>3428</v>
      </c>
      <c r="BG10" s="56">
        <v>4102</v>
      </c>
      <c r="BH10" s="56">
        <v>-674</v>
      </c>
      <c r="BI10" s="58">
        <v>-0.2971571683883667</v>
      </c>
      <c r="BJ10" s="56">
        <v>227671</v>
      </c>
      <c r="BK10" s="56">
        <v>5013</v>
      </c>
      <c r="BL10" s="56">
        <v>3484</v>
      </c>
      <c r="BM10" s="56">
        <v>1529</v>
      </c>
      <c r="BN10" s="58">
        <v>0.67612385749816895</v>
      </c>
      <c r="BO10" s="56">
        <v>230041</v>
      </c>
      <c r="BP10" s="56">
        <v>5800</v>
      </c>
      <c r="BQ10" s="56">
        <v>3430</v>
      </c>
      <c r="BR10" s="56">
        <v>2370</v>
      </c>
      <c r="BS10" s="58">
        <v>1.04097580909729</v>
      </c>
      <c r="BT10" s="56">
        <v>231479</v>
      </c>
      <c r="BU10" s="56">
        <v>5696</v>
      </c>
      <c r="BV10" s="56">
        <v>4258</v>
      </c>
      <c r="BW10" s="56">
        <v>1438</v>
      </c>
      <c r="BX10" s="58">
        <v>0.62510597705841064</v>
      </c>
      <c r="BY10" s="56">
        <v>233822</v>
      </c>
      <c r="BZ10" s="56">
        <v>5904</v>
      </c>
      <c r="CA10" s="56">
        <v>3561</v>
      </c>
      <c r="CB10" s="56">
        <v>2343</v>
      </c>
      <c r="CC10" s="58">
        <v>1.0121868848800659</v>
      </c>
      <c r="CD10" s="56">
        <v>236329</v>
      </c>
      <c r="CE10" s="56">
        <v>6316</v>
      </c>
      <c r="CF10" s="56">
        <v>3809</v>
      </c>
      <c r="CG10" s="56">
        <v>2507</v>
      </c>
      <c r="CH10" s="58">
        <v>1.0721831321716309</v>
      </c>
      <c r="CI10" s="56">
        <v>238711</v>
      </c>
      <c r="CJ10" s="56">
        <v>6096</v>
      </c>
      <c r="CK10" s="56">
        <v>3714</v>
      </c>
      <c r="CL10" s="56">
        <v>2382</v>
      </c>
      <c r="CM10" s="58">
        <v>1.0079169273376465</v>
      </c>
      <c r="CN10" s="56">
        <v>241188</v>
      </c>
      <c r="CO10" s="56">
        <v>6598</v>
      </c>
      <c r="CP10" s="56">
        <v>4121</v>
      </c>
      <c r="CQ10" s="56">
        <v>2477</v>
      </c>
      <c r="CR10" s="58">
        <v>1.0376564264297485</v>
      </c>
      <c r="CS10" s="56">
        <v>242914</v>
      </c>
      <c r="CT10" s="56">
        <v>6129</v>
      </c>
      <c r="CU10" s="56">
        <v>4403</v>
      </c>
      <c r="CV10" s="56">
        <v>1726</v>
      </c>
      <c r="CW10" s="58">
        <v>0.71562433242797852</v>
      </c>
      <c r="CX10" s="56">
        <v>244387</v>
      </c>
      <c r="CY10" s="56">
        <v>6059</v>
      </c>
      <c r="CZ10" s="56">
        <v>4586</v>
      </c>
      <c r="DA10" s="56">
        <v>1473</v>
      </c>
      <c r="DB10" s="58">
        <v>0.6063874363899231</v>
      </c>
      <c r="DC10" s="56">
        <v>245430</v>
      </c>
      <c r="DD10" s="56">
        <v>5397</v>
      </c>
      <c r="DE10" s="56">
        <v>4354</v>
      </c>
      <c r="DF10" s="56">
        <v>1043</v>
      </c>
      <c r="DG10" s="58">
        <v>0.42678210139274597</v>
      </c>
      <c r="DH10" s="56">
        <v>245811</v>
      </c>
      <c r="DI10" s="56">
        <v>4733</v>
      </c>
      <c r="DJ10" s="56">
        <v>4352</v>
      </c>
      <c r="DK10" s="56">
        <v>381</v>
      </c>
      <c r="DL10" s="58">
        <v>0.15523774921894073</v>
      </c>
      <c r="DM10" s="56">
        <v>244647</v>
      </c>
      <c r="DN10" s="56">
        <v>3672</v>
      </c>
      <c r="DO10" s="56">
        <v>4836</v>
      </c>
      <c r="DP10" s="56">
        <v>-1164</v>
      </c>
      <c r="DQ10" s="58">
        <v>-0.47353455424308777</v>
      </c>
      <c r="DR10" s="56">
        <v>245150</v>
      </c>
      <c r="DS10" s="56">
        <v>4565</v>
      </c>
      <c r="DT10" s="56">
        <v>4062</v>
      </c>
      <c r="DU10" s="56">
        <v>503</v>
      </c>
      <c r="DV10" s="58">
        <v>0.20560236275196075</v>
      </c>
      <c r="DW10" s="56">
        <v>247032</v>
      </c>
      <c r="DX10" s="56">
        <v>6210</v>
      </c>
      <c r="DY10" s="56">
        <v>4328</v>
      </c>
      <c r="DZ10" s="56">
        <v>1882</v>
      </c>
      <c r="EA10" s="58">
        <v>0.76769322156906128</v>
      </c>
      <c r="EB10" s="56">
        <v>247858</v>
      </c>
      <c r="EC10" s="56">
        <v>5569</v>
      </c>
      <c r="ED10" s="56">
        <v>4743</v>
      </c>
      <c r="EE10" s="56">
        <v>826</v>
      </c>
      <c r="EF10" s="58">
        <v>0.33436962962150574</v>
      </c>
      <c r="EG10" s="56">
        <v>249374</v>
      </c>
      <c r="EH10" s="56">
        <v>5826</v>
      </c>
      <c r="EI10" s="56">
        <v>4310</v>
      </c>
      <c r="EJ10" s="56">
        <v>1516</v>
      </c>
      <c r="EK10" s="58">
        <v>0.61164051294326782</v>
      </c>
      <c r="EL10" s="56">
        <v>250894</v>
      </c>
      <c r="EM10" s="56">
        <v>6151</v>
      </c>
      <c r="EN10" s="56">
        <v>4631</v>
      </c>
      <c r="EO10" s="56">
        <v>1520</v>
      </c>
      <c r="EP10" s="58">
        <v>0.60952627658843994</v>
      </c>
      <c r="EQ10" s="56">
        <v>252246</v>
      </c>
      <c r="ER10" s="56">
        <v>5732</v>
      </c>
      <c r="ES10" s="56">
        <v>4380</v>
      </c>
      <c r="ET10" s="56">
        <v>1352</v>
      </c>
      <c r="EU10" s="58">
        <v>0.53887301683425903</v>
      </c>
      <c r="EV10" s="56">
        <v>253815</v>
      </c>
      <c r="EW10" s="56">
        <v>6015</v>
      </c>
      <c r="EX10" s="56">
        <v>4446</v>
      </c>
      <c r="EY10" s="56">
        <v>1569</v>
      </c>
      <c r="EZ10" s="58">
        <v>0.62201184034347534</v>
      </c>
      <c r="FA10" s="56">
        <v>255078</v>
      </c>
      <c r="FB10" s="56">
        <v>6290</v>
      </c>
      <c r="FC10" s="56">
        <v>5027</v>
      </c>
      <c r="FD10" s="56">
        <v>1263</v>
      </c>
      <c r="FE10" s="58">
        <v>0.49760651588439941</v>
      </c>
      <c r="FF10" s="56">
        <v>256138</v>
      </c>
      <c r="FG10" s="56">
        <v>5919</v>
      </c>
      <c r="FH10" s="56">
        <v>4859</v>
      </c>
      <c r="FI10" s="56">
        <v>1060</v>
      </c>
      <c r="FJ10" s="58">
        <v>0.41555917263031006</v>
      </c>
      <c r="FK10" s="56">
        <v>256842</v>
      </c>
      <c r="FL10" s="56">
        <v>5844</v>
      </c>
      <c r="FM10" s="56">
        <v>5140</v>
      </c>
      <c r="FN10" s="56">
        <v>704</v>
      </c>
      <c r="FO10" s="58">
        <v>0.27485182881355286</v>
      </c>
      <c r="FP10" s="56">
        <v>257586</v>
      </c>
      <c r="FQ10" s="56">
        <v>5679</v>
      </c>
      <c r="FR10" s="56">
        <v>4935</v>
      </c>
      <c r="FS10" s="56">
        <v>744</v>
      </c>
      <c r="FT10" s="58">
        <v>0.28967225551605225</v>
      </c>
      <c r="FU10" s="56">
        <v>257237</v>
      </c>
      <c r="FV10" s="56">
        <v>4208</v>
      </c>
      <c r="FW10" s="56">
        <v>4557</v>
      </c>
      <c r="FX10" s="56">
        <v>-349</v>
      </c>
      <c r="FY10" s="58">
        <v>-0.13548873364925385</v>
      </c>
      <c r="FZ10" s="56">
        <v>257618</v>
      </c>
      <c r="GA10" s="56">
        <v>5185</v>
      </c>
      <c r="GB10" s="56">
        <v>4804</v>
      </c>
      <c r="GC10" s="56">
        <v>381</v>
      </c>
      <c r="GD10" s="58">
        <v>0.14811244606971741</v>
      </c>
      <c r="GE10" s="56">
        <v>258959</v>
      </c>
      <c r="GF10" s="56">
        <v>5822</v>
      </c>
      <c r="GG10" s="56">
        <v>4481</v>
      </c>
      <c r="GH10" s="56">
        <v>1341</v>
      </c>
      <c r="GI10" s="58">
        <v>0.52053815126419067</v>
      </c>
      <c r="GJ10" s="56">
        <v>260514</v>
      </c>
      <c r="GK10" s="56">
        <v>6776</v>
      </c>
      <c r="GL10" s="56">
        <v>5221</v>
      </c>
      <c r="GM10" s="56">
        <v>1555</v>
      </c>
      <c r="GN10" s="58">
        <v>0.60048115253448486</v>
      </c>
      <c r="GO10" s="56">
        <v>262975</v>
      </c>
      <c r="GP10" s="56">
        <v>6985</v>
      </c>
      <c r="GQ10" s="56">
        <v>4524</v>
      </c>
      <c r="GR10" s="56">
        <v>2461</v>
      </c>
      <c r="GS10" s="58">
        <v>0.9446709156036377</v>
      </c>
      <c r="GT10" s="56">
        <v>265596</v>
      </c>
      <c r="GU10" s="56">
        <v>7616</v>
      </c>
      <c r="GV10" s="56">
        <v>4995</v>
      </c>
      <c r="GW10" s="56">
        <v>2621</v>
      </c>
      <c r="GX10" s="58">
        <v>0.99667268991470337</v>
      </c>
      <c r="GY10" s="56">
        <v>267443</v>
      </c>
      <c r="GZ10" s="56">
        <v>7200</v>
      </c>
      <c r="HA10" s="56">
        <v>5353</v>
      </c>
      <c r="HB10" s="56">
        <v>1847</v>
      </c>
      <c r="HC10" s="58">
        <v>0.69541710615158081</v>
      </c>
      <c r="HD10" s="56">
        <v>268666</v>
      </c>
      <c r="HE10" s="56">
        <v>6346</v>
      </c>
      <c r="HF10" s="56">
        <v>5123</v>
      </c>
      <c r="HG10" s="56">
        <v>1223</v>
      </c>
      <c r="HH10" s="58">
        <v>0.45729368925094604</v>
      </c>
      <c r="HI10" s="56">
        <v>269723</v>
      </c>
      <c r="HJ10" s="56">
        <v>6578</v>
      </c>
      <c r="HK10" s="56">
        <v>5521</v>
      </c>
      <c r="HL10" s="56">
        <v>1057</v>
      </c>
      <c r="HM10" s="58">
        <v>0.39342528581619263</v>
      </c>
      <c r="HN10" s="56">
        <v>270477</v>
      </c>
      <c r="HO10" s="56">
        <v>6147</v>
      </c>
      <c r="HP10" s="56">
        <v>5393</v>
      </c>
      <c r="HQ10" s="56">
        <v>754</v>
      </c>
      <c r="HR10" s="58">
        <v>0.27954605221748352</v>
      </c>
      <c r="HS10" s="56">
        <v>271495</v>
      </c>
      <c r="HT10" s="56">
        <v>5770</v>
      </c>
      <c r="HU10" s="56">
        <v>4752</v>
      </c>
      <c r="HV10" s="56">
        <v>1018</v>
      </c>
      <c r="HW10" s="58">
        <v>0.37637209892272949</v>
      </c>
      <c r="HX10" s="56">
        <v>271746</v>
      </c>
      <c r="HY10" s="56">
        <v>5029</v>
      </c>
      <c r="HZ10" s="56">
        <v>4778</v>
      </c>
      <c r="IA10" s="56">
        <v>251</v>
      </c>
      <c r="IB10" s="58">
        <v>9.2451058328151703E-2</v>
      </c>
      <c r="IC10" s="56">
        <v>271196</v>
      </c>
      <c r="ID10" s="56">
        <v>3939</v>
      </c>
      <c r="IE10" s="56">
        <v>4489</v>
      </c>
      <c r="IF10" s="56">
        <v>-550</v>
      </c>
      <c r="IG10" s="58">
        <v>-0.20239488780498505</v>
      </c>
      <c r="IH10" s="56">
        <v>271715</v>
      </c>
      <c r="II10" s="56">
        <v>5752</v>
      </c>
      <c r="IJ10" s="56">
        <v>5233</v>
      </c>
      <c r="IK10" s="56">
        <v>519</v>
      </c>
      <c r="IL10" s="58">
        <v>0.1913745105266571</v>
      </c>
      <c r="IM10" s="56">
        <v>272996</v>
      </c>
      <c r="IN10" s="56">
        <v>6492</v>
      </c>
      <c r="IO10" s="56">
        <v>5211</v>
      </c>
      <c r="IP10" s="56">
        <v>1281</v>
      </c>
      <c r="IQ10" s="58">
        <v>0.47144985198974609</v>
      </c>
      <c r="IR10" s="56">
        <v>273854</v>
      </c>
      <c r="IS10" s="56">
        <v>6327</v>
      </c>
      <c r="IT10" s="56">
        <v>5469</v>
      </c>
      <c r="IU10" s="56">
        <v>858</v>
      </c>
      <c r="IV10" s="58">
        <v>0.31429031491279602</v>
      </c>
      <c r="IW10" s="56">
        <v>275699</v>
      </c>
      <c r="IX10" s="59">
        <v>7172</v>
      </c>
      <c r="IY10" s="59">
        <v>5327</v>
      </c>
      <c r="IZ10" s="59">
        <v>1845</v>
      </c>
      <c r="JA10" s="58">
        <v>0.67371666431427002</v>
      </c>
      <c r="JB10" s="56">
        <v>277328</v>
      </c>
      <c r="JC10" s="59">
        <v>7138</v>
      </c>
      <c r="JD10" s="59">
        <v>5509</v>
      </c>
      <c r="JE10" s="59">
        <v>1629</v>
      </c>
      <c r="JF10" s="58">
        <v>0.59086179733276367</v>
      </c>
      <c r="JG10" s="56">
        <v>278891</v>
      </c>
      <c r="JH10" s="59">
        <v>6747</v>
      </c>
      <c r="JI10" s="59">
        <v>5184</v>
      </c>
      <c r="JJ10" s="59">
        <v>1563</v>
      </c>
      <c r="JK10" s="58">
        <v>0.56359255313873291</v>
      </c>
      <c r="JL10" s="56">
        <v>280114</v>
      </c>
      <c r="JM10" s="59">
        <v>6931</v>
      </c>
      <c r="JN10" s="59">
        <v>5708</v>
      </c>
      <c r="JO10" s="59">
        <v>1223</v>
      </c>
      <c r="JP10" s="58">
        <v>0.4385225772857666</v>
      </c>
      <c r="JQ10" s="56">
        <v>281659</v>
      </c>
      <c r="JR10" s="59">
        <v>6837</v>
      </c>
      <c r="JS10" s="59">
        <v>5292</v>
      </c>
      <c r="JT10" s="59">
        <v>1545</v>
      </c>
      <c r="JU10" s="58">
        <v>0.55156117677688599</v>
      </c>
      <c r="JV10" s="56">
        <v>282803</v>
      </c>
      <c r="JW10" s="59">
        <v>6414</v>
      </c>
      <c r="JX10" s="59">
        <v>5270</v>
      </c>
      <c r="JY10" s="59">
        <v>1144</v>
      </c>
      <c r="JZ10" s="58">
        <v>0.40616491436958313</v>
      </c>
      <c r="KA10" s="56">
        <v>282923</v>
      </c>
      <c r="KB10" s="59">
        <v>6024</v>
      </c>
      <c r="KC10" s="59">
        <v>5904</v>
      </c>
      <c r="KD10" s="59">
        <v>120</v>
      </c>
      <c r="KE10" s="58">
        <v>4.2432364076375961E-2</v>
      </c>
      <c r="KF10" s="56">
        <v>283159</v>
      </c>
      <c r="KG10" s="59">
        <v>5712</v>
      </c>
      <c r="KH10" s="59">
        <v>5476</v>
      </c>
      <c r="KI10" s="59">
        <v>236</v>
      </c>
      <c r="KJ10" s="58">
        <v>8.3414919674396515E-2</v>
      </c>
      <c r="KK10" s="56">
        <v>282284</v>
      </c>
      <c r="KL10" s="59">
        <v>4176</v>
      </c>
      <c r="KM10" s="59">
        <v>5051</v>
      </c>
      <c r="KN10" s="59">
        <v>-875</v>
      </c>
      <c r="KO10" s="58">
        <v>-0.30901366472244263</v>
      </c>
      <c r="KP10" s="56">
        <v>282898</v>
      </c>
      <c r="KQ10" s="59">
        <v>6109</v>
      </c>
      <c r="KR10" s="59">
        <v>5495</v>
      </c>
      <c r="KS10" s="59">
        <v>614</v>
      </c>
      <c r="KT10" s="58">
        <v>0.21751144528388977</v>
      </c>
      <c r="KU10" s="56">
        <v>284623</v>
      </c>
      <c r="KV10" s="59">
        <v>7279</v>
      </c>
      <c r="KW10" s="59">
        <v>5554</v>
      </c>
      <c r="KX10" s="59">
        <v>1725</v>
      </c>
      <c r="KY10" s="58">
        <v>0.60976040363311768</v>
      </c>
      <c r="KZ10" s="56">
        <v>285061</v>
      </c>
      <c r="LA10" s="59">
        <v>6049</v>
      </c>
      <c r="LB10" s="59">
        <v>5611</v>
      </c>
      <c r="LC10" s="59">
        <v>438</v>
      </c>
      <c r="LD10" s="58">
        <v>0.15388777852058411</v>
      </c>
      <c r="LE10" s="56">
        <v>286104</v>
      </c>
      <c r="LF10" s="59">
        <v>6402</v>
      </c>
      <c r="LG10" s="59">
        <v>5359</v>
      </c>
      <c r="LH10" s="59">
        <v>1043</v>
      </c>
      <c r="LI10" s="58">
        <v>0.36588659882545471</v>
      </c>
      <c r="LJ10" s="56">
        <v>287421</v>
      </c>
      <c r="LK10" s="59">
        <v>6847</v>
      </c>
      <c r="LL10" s="59">
        <v>5530</v>
      </c>
      <c r="LM10" s="59">
        <v>1317</v>
      </c>
      <c r="LN10" s="58">
        <v>0.46032211184501648</v>
      </c>
      <c r="LO10" s="56">
        <v>288480</v>
      </c>
      <c r="LP10" s="59">
        <v>6368</v>
      </c>
      <c r="LQ10" s="59">
        <v>5309</v>
      </c>
      <c r="LR10" s="59">
        <v>1059</v>
      </c>
      <c r="LS10" s="58">
        <v>0.36844906210899353</v>
      </c>
      <c r="LT10" s="56">
        <v>290275</v>
      </c>
      <c r="LU10" s="59">
        <v>7285</v>
      </c>
      <c r="LV10" s="59">
        <v>5490</v>
      </c>
      <c r="LW10" s="59">
        <v>1795</v>
      </c>
      <c r="LX10" s="58">
        <v>0.62222683429718018</v>
      </c>
      <c r="LY10" s="56">
        <v>290777</v>
      </c>
      <c r="LZ10" s="59">
        <v>6416</v>
      </c>
      <c r="MA10" s="59">
        <v>5914</v>
      </c>
      <c r="MB10" s="59">
        <v>502</v>
      </c>
      <c r="MC10" s="58">
        <v>0.17293944954872131</v>
      </c>
      <c r="MD10" s="56">
        <v>291611</v>
      </c>
      <c r="ME10" s="59">
        <v>6637</v>
      </c>
      <c r="MF10" s="59">
        <v>5803</v>
      </c>
      <c r="MG10" s="59">
        <v>834</v>
      </c>
      <c r="MH10" s="58">
        <v>0.28681772947311401</v>
      </c>
      <c r="MI10" s="56">
        <v>292387</v>
      </c>
      <c r="MJ10" s="59">
        <v>6651</v>
      </c>
      <c r="MK10" s="59">
        <v>5875</v>
      </c>
      <c r="ML10" s="59">
        <v>776</v>
      </c>
      <c r="MM10" s="58">
        <v>0.26610791683197021</v>
      </c>
      <c r="MN10" s="56">
        <v>292691</v>
      </c>
      <c r="MO10" s="59">
        <v>5690</v>
      </c>
      <c r="MP10" s="59">
        <v>5386</v>
      </c>
      <c r="MQ10" s="59">
        <v>304</v>
      </c>
      <c r="MR10" s="58">
        <v>0.10397179424762726</v>
      </c>
      <c r="MS10" s="56">
        <v>291754</v>
      </c>
      <c r="MT10" s="59">
        <v>4515</v>
      </c>
      <c r="MU10" s="59">
        <v>5452</v>
      </c>
      <c r="MV10" s="59">
        <v>-937</v>
      </c>
      <c r="MW10" s="58">
        <v>-0.32013282179832458</v>
      </c>
      <c r="MX10" s="56">
        <v>292130</v>
      </c>
      <c r="MY10" s="59">
        <v>5831</v>
      </c>
      <c r="MZ10" s="59">
        <v>5455</v>
      </c>
      <c r="NA10" s="59">
        <v>376</v>
      </c>
      <c r="NB10" s="58">
        <v>0.12887570261955261</v>
      </c>
      <c r="NC10" s="56">
        <v>293317</v>
      </c>
      <c r="ND10" s="59">
        <v>6347</v>
      </c>
      <c r="NE10" s="59">
        <v>5160</v>
      </c>
      <c r="NF10" s="59">
        <v>1187</v>
      </c>
      <c r="NG10" s="58">
        <v>0.40632593631744385</v>
      </c>
      <c r="NH10" s="56">
        <v>295003</v>
      </c>
      <c r="NI10" s="59">
        <v>7284</v>
      </c>
      <c r="NJ10" s="59">
        <v>5598</v>
      </c>
      <c r="NK10" s="59">
        <v>1686</v>
      </c>
      <c r="NL10" s="58">
        <v>0.57480472326278687</v>
      </c>
      <c r="NM10" s="59">
        <f t="shared" si="2"/>
        <v>19462</v>
      </c>
      <c r="NN10" s="59">
        <f t="shared" si="3"/>
        <v>16213</v>
      </c>
      <c r="NO10" s="59">
        <f t="shared" si="4"/>
        <v>3249</v>
      </c>
      <c r="NP10" s="58">
        <f t="shared" si="5"/>
        <v>1.1136094106678915</v>
      </c>
      <c r="NQ10" s="59">
        <f t="shared" si="6"/>
        <v>76273</v>
      </c>
      <c r="NR10" s="59">
        <f t="shared" si="7"/>
        <v>66331</v>
      </c>
      <c r="NS10" s="59">
        <f t="shared" si="8"/>
        <v>9942</v>
      </c>
      <c r="NT10" s="58">
        <f t="shared" si="9"/>
        <v>3.4876745678995023</v>
      </c>
      <c r="NU10" s="97"/>
      <c r="NY10" s="25"/>
    </row>
  </sheetData>
  <mergeCells count="79">
    <mergeCell ref="NH5:NL5"/>
    <mergeCell ref="C5:F5"/>
    <mergeCell ref="B5:B6"/>
    <mergeCell ref="IR5:IV5"/>
    <mergeCell ref="AF5:AJ5"/>
    <mergeCell ref="AK5:AO5"/>
    <mergeCell ref="AP5:AT5"/>
    <mergeCell ref="V5:Z5"/>
    <mergeCell ref="AA5:AE5"/>
    <mergeCell ref="BY5:CC5"/>
    <mergeCell ref="EV5:EZ5"/>
    <mergeCell ref="FA5:FE5"/>
    <mergeCell ref="BE5:BI5"/>
    <mergeCell ref="AU5:AY5"/>
    <mergeCell ref="G5:K5"/>
    <mergeCell ref="L5:P5"/>
    <mergeCell ref="Q5:U5"/>
    <mergeCell ref="IH5:IL5"/>
    <mergeCell ref="HD5:HH5"/>
    <mergeCell ref="HI5:HM5"/>
    <mergeCell ref="HN5:HR5"/>
    <mergeCell ref="HS5:HW5"/>
    <mergeCell ref="HX5:IB5"/>
    <mergeCell ref="GE5:GI5"/>
    <mergeCell ref="GJ5:GN5"/>
    <mergeCell ref="GO5:GS5"/>
    <mergeCell ref="GT5:GX5"/>
    <mergeCell ref="GY5:HC5"/>
    <mergeCell ref="FZ5:GD5"/>
    <mergeCell ref="BJ5:BN5"/>
    <mergeCell ref="BO5:BS5"/>
    <mergeCell ref="AZ5:BD5"/>
    <mergeCell ref="BT5:BX5"/>
    <mergeCell ref="FF5:FJ5"/>
    <mergeCell ref="CN5:CR5"/>
    <mergeCell ref="CS5:CW5"/>
    <mergeCell ref="CX5:DB5"/>
    <mergeCell ref="DC5:DG5"/>
    <mergeCell ref="DH5:DL5"/>
    <mergeCell ref="DM5:DQ5"/>
    <mergeCell ref="DR5:DV5"/>
    <mergeCell ref="DW5:EA5"/>
    <mergeCell ref="EB5:EF5"/>
    <mergeCell ref="EG5:EK5"/>
    <mergeCell ref="FK4:FO4"/>
    <mergeCell ref="FU5:FY5"/>
    <mergeCell ref="FP5:FT5"/>
    <mergeCell ref="IC5:IG5"/>
    <mergeCell ref="FK5:FO5"/>
    <mergeCell ref="NC5:NG5"/>
    <mergeCell ref="EL5:EP5"/>
    <mergeCell ref="CD5:CH5"/>
    <mergeCell ref="CI5:CM5"/>
    <mergeCell ref="KZ5:LD5"/>
    <mergeCell ref="KP5:KT5"/>
    <mergeCell ref="KF5:KJ5"/>
    <mergeCell ref="KK5:KO5"/>
    <mergeCell ref="JL5:JP5"/>
    <mergeCell ref="JQ5:JU5"/>
    <mergeCell ref="JV5:JZ5"/>
    <mergeCell ref="KA5:KE5"/>
    <mergeCell ref="LO5:LS5"/>
    <mergeCell ref="LJ5:LN5"/>
    <mergeCell ref="NM5:NP5"/>
    <mergeCell ref="EQ5:EU5"/>
    <mergeCell ref="NQ5:NT5"/>
    <mergeCell ref="LY5:MC5"/>
    <mergeCell ref="IM5:IQ5"/>
    <mergeCell ref="IW5:JA5"/>
    <mergeCell ref="JB5:JF5"/>
    <mergeCell ref="JG5:JK5"/>
    <mergeCell ref="LT5:LX5"/>
    <mergeCell ref="LE5:LI5"/>
    <mergeCell ref="KU5:KY5"/>
    <mergeCell ref="MD5:MH5"/>
    <mergeCell ref="MI5:MM5"/>
    <mergeCell ref="MN5:MR5"/>
    <mergeCell ref="MS5:MW5"/>
    <mergeCell ref="MX5:NB5"/>
  </mergeCells>
  <printOptions horizontalCentered="1" verticalCentered="1"/>
  <pageMargins left="0" right="0" top="0" bottom="0" header="0.19" footer="0.18"/>
  <pageSetup paperSize="9"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Y10"/>
  <sheetViews>
    <sheetView showGridLines="0" zoomScaleNormal="10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ColWidth="9.140625" defaultRowHeight="16.5" customHeight="1"/>
  <cols>
    <col min="1" max="1" width="0.7109375" style="4" customWidth="1"/>
    <col min="2" max="2" width="49.7109375" style="4" customWidth="1"/>
    <col min="3" max="364" width="15.7109375" style="4" customWidth="1"/>
    <col min="365" max="365" width="13.42578125" style="4" customWidth="1"/>
    <col min="366" max="384" width="15.7109375" style="4" customWidth="1"/>
    <col min="385" max="385" width="0.42578125" style="4" customWidth="1"/>
    <col min="386" max="386" width="13.28515625" style="4" bestFit="1" customWidth="1"/>
    <col min="387" max="16384" width="9.140625" style="4"/>
  </cols>
  <sheetData>
    <row r="1" spans="1:389" ht="8.2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</row>
    <row r="2" spans="1:389" ht="15" customHeight="1">
      <c r="A2" s="39"/>
      <c r="B2" s="33" t="s">
        <v>133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</row>
    <row r="3" spans="1:389" ht="15" customHeight="1">
      <c r="A3" s="147"/>
      <c r="B3" s="147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39"/>
      <c r="AT3" s="39"/>
      <c r="AU3" s="83"/>
      <c r="AV3" s="83"/>
      <c r="AW3" s="83"/>
      <c r="AX3" s="39"/>
      <c r="AY3" s="39"/>
      <c r="AZ3" s="83"/>
      <c r="BA3" s="83"/>
      <c r="BB3" s="83"/>
      <c r="BC3" s="39"/>
      <c r="BD3" s="39"/>
      <c r="BE3" s="83"/>
      <c r="BF3" s="83"/>
      <c r="BG3" s="83"/>
      <c r="BH3" s="39"/>
      <c r="BI3" s="39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39"/>
      <c r="DB3" s="39"/>
      <c r="DC3" s="83"/>
      <c r="DD3" s="83"/>
      <c r="DE3" s="83"/>
      <c r="DF3" s="39"/>
      <c r="DG3" s="39"/>
      <c r="DH3" s="83"/>
      <c r="DI3" s="83"/>
      <c r="DJ3" s="83"/>
      <c r="DK3" s="39"/>
      <c r="DL3" s="39"/>
      <c r="DM3" s="83"/>
      <c r="DN3" s="83"/>
      <c r="DO3" s="83"/>
      <c r="DP3" s="39"/>
      <c r="DQ3" s="39"/>
      <c r="DR3" s="83"/>
      <c r="DS3" s="83"/>
      <c r="DT3" s="83"/>
      <c r="DU3" s="39"/>
      <c r="DV3" s="39"/>
      <c r="DW3" s="83"/>
      <c r="DX3" s="83"/>
      <c r="DY3" s="83"/>
      <c r="DZ3" s="39"/>
      <c r="EA3" s="39"/>
      <c r="EB3" s="83"/>
      <c r="EC3" s="83"/>
      <c r="ED3" s="83"/>
      <c r="EE3" s="39"/>
      <c r="EF3" s="39"/>
      <c r="EG3" s="83"/>
      <c r="EH3" s="83"/>
      <c r="EI3" s="83"/>
      <c r="EJ3" s="39"/>
      <c r="EK3" s="39"/>
      <c r="EL3" s="83"/>
      <c r="EM3" s="83"/>
      <c r="EN3" s="83"/>
      <c r="EO3" s="39"/>
      <c r="EP3" s="39"/>
      <c r="EQ3" s="83"/>
      <c r="ER3" s="83"/>
      <c r="ES3" s="83"/>
      <c r="ET3" s="39"/>
      <c r="EU3" s="39"/>
      <c r="EV3" s="83"/>
      <c r="EW3" s="83"/>
      <c r="EX3" s="83"/>
      <c r="EY3" s="39"/>
      <c r="EZ3" s="39"/>
      <c r="FA3" s="83"/>
      <c r="FB3" s="83"/>
      <c r="FC3" s="83"/>
      <c r="FD3" s="39"/>
      <c r="FE3" s="39"/>
      <c r="FF3" s="83"/>
      <c r="FG3" s="83"/>
      <c r="FH3" s="83"/>
      <c r="FI3" s="39"/>
      <c r="FJ3" s="39"/>
      <c r="FK3" s="83"/>
      <c r="FL3" s="83"/>
      <c r="FM3" s="83"/>
      <c r="FN3" s="39"/>
      <c r="FO3" s="39"/>
      <c r="FP3" s="83"/>
      <c r="FQ3" s="83"/>
      <c r="FR3" s="83"/>
      <c r="FS3" s="39"/>
      <c r="FT3" s="39"/>
      <c r="FU3" s="83"/>
      <c r="FV3" s="83"/>
      <c r="FW3" s="83"/>
      <c r="FX3" s="39"/>
      <c r="FY3" s="39"/>
      <c r="FZ3" s="83"/>
      <c r="GA3" s="83"/>
      <c r="GB3" s="83"/>
      <c r="GC3" s="39"/>
      <c r="GD3" s="39"/>
      <c r="GE3" s="83"/>
      <c r="GF3" s="83"/>
      <c r="GG3" s="83"/>
      <c r="GH3" s="39"/>
      <c r="GI3" s="39"/>
      <c r="GJ3" s="83"/>
      <c r="GK3" s="83"/>
      <c r="GL3" s="83"/>
      <c r="GM3" s="39"/>
      <c r="GN3" s="39"/>
      <c r="GO3" s="83"/>
      <c r="GP3" s="83"/>
      <c r="GQ3" s="83"/>
      <c r="GR3" s="39"/>
      <c r="GS3" s="39"/>
      <c r="GT3" s="83"/>
      <c r="GU3" s="83"/>
      <c r="GV3" s="83"/>
      <c r="GW3" s="39"/>
      <c r="GX3" s="39"/>
      <c r="GY3" s="83"/>
      <c r="GZ3" s="83"/>
      <c r="HA3" s="83"/>
      <c r="HB3" s="39"/>
      <c r="HC3" s="39"/>
      <c r="HD3" s="83"/>
      <c r="HE3" s="83"/>
      <c r="HF3" s="83"/>
      <c r="HG3" s="39"/>
      <c r="HH3" s="39"/>
      <c r="HI3" s="83"/>
      <c r="HJ3" s="83"/>
      <c r="HK3" s="83"/>
      <c r="HL3" s="39"/>
      <c r="HM3" s="39"/>
      <c r="HN3" s="83"/>
      <c r="HO3" s="83"/>
      <c r="HP3" s="83"/>
      <c r="HQ3" s="39"/>
      <c r="HR3" s="39"/>
      <c r="HS3" s="83"/>
      <c r="HT3" s="83"/>
      <c r="HU3" s="83"/>
      <c r="HV3" s="39"/>
      <c r="HW3" s="39"/>
      <c r="HX3" s="83"/>
      <c r="HY3" s="83"/>
      <c r="HZ3" s="83"/>
      <c r="IA3" s="39"/>
      <c r="IB3" s="39"/>
      <c r="IC3" s="83"/>
      <c r="ID3" s="83"/>
      <c r="IE3" s="83"/>
      <c r="IF3" s="39"/>
      <c r="IG3" s="39"/>
      <c r="IH3" s="83"/>
      <c r="II3" s="83"/>
      <c r="IJ3" s="83"/>
      <c r="IK3" s="39"/>
      <c r="IL3" s="39"/>
      <c r="IM3" s="83"/>
      <c r="IN3" s="83"/>
      <c r="IO3" s="39"/>
      <c r="IP3" s="83"/>
      <c r="IQ3" s="39"/>
      <c r="IR3" s="83"/>
      <c r="IS3" s="83"/>
      <c r="IT3" s="39"/>
      <c r="IU3" s="83"/>
      <c r="IV3" s="39"/>
      <c r="IW3" s="83"/>
      <c r="IX3" s="83"/>
      <c r="IY3" s="39"/>
      <c r="IZ3" s="83"/>
      <c r="JA3" s="39"/>
      <c r="JB3" s="83"/>
      <c r="JC3" s="83"/>
      <c r="JD3" s="39"/>
      <c r="JE3" s="83"/>
      <c r="JF3" s="39"/>
      <c r="JG3" s="83"/>
      <c r="JH3" s="83"/>
      <c r="JI3" s="39"/>
      <c r="JJ3" s="83"/>
      <c r="JK3" s="39"/>
      <c r="JL3" s="83"/>
      <c r="JM3" s="83"/>
      <c r="JN3" s="39"/>
      <c r="JO3" s="83"/>
      <c r="JP3" s="39"/>
      <c r="JQ3" s="83"/>
      <c r="JR3" s="83"/>
      <c r="JS3" s="39"/>
      <c r="JT3" s="83"/>
      <c r="JU3" s="39"/>
      <c r="JV3" s="83"/>
      <c r="JW3" s="83"/>
      <c r="JX3" s="39"/>
      <c r="JY3" s="83"/>
      <c r="JZ3" s="39"/>
      <c r="KA3" s="83"/>
      <c r="KB3" s="83"/>
      <c r="KC3" s="39"/>
      <c r="KD3" s="83"/>
      <c r="KE3" s="39"/>
      <c r="KF3" s="83"/>
      <c r="KG3" s="83"/>
      <c r="KH3" s="39"/>
      <c r="KI3" s="83"/>
      <c r="KJ3" s="39"/>
      <c r="KK3" s="83"/>
      <c r="KL3" s="83"/>
      <c r="KM3" s="39"/>
      <c r="KN3" s="83"/>
      <c r="KO3" s="39"/>
      <c r="KP3" s="83"/>
      <c r="KQ3" s="83"/>
      <c r="KR3" s="39"/>
      <c r="KS3" s="83"/>
      <c r="KT3" s="39"/>
      <c r="KU3" s="83"/>
      <c r="KV3" s="83"/>
      <c r="KW3" s="39"/>
      <c r="KX3" s="83"/>
      <c r="KY3" s="39"/>
      <c r="KZ3" s="83"/>
      <c r="LA3" s="83"/>
      <c r="LB3" s="39"/>
      <c r="LC3" s="83"/>
      <c r="LD3" s="39"/>
      <c r="LE3" s="83"/>
      <c r="LF3" s="83"/>
      <c r="LG3" s="39"/>
      <c r="LH3" s="83"/>
      <c r="LI3" s="39"/>
      <c r="LJ3" s="83"/>
      <c r="LK3" s="83"/>
      <c r="LL3" s="39"/>
      <c r="LM3" s="83"/>
      <c r="LN3" s="39"/>
      <c r="LO3" s="83"/>
      <c r="LP3" s="83"/>
      <c r="LQ3" s="39"/>
      <c r="LR3" s="83"/>
      <c r="LS3" s="39"/>
      <c r="LT3" s="83"/>
      <c r="LU3" s="83"/>
      <c r="LV3" s="39"/>
      <c r="LW3" s="83"/>
      <c r="LX3" s="39"/>
      <c r="LY3" s="83"/>
      <c r="LZ3" s="83"/>
      <c r="MA3" s="39"/>
      <c r="MB3" s="83"/>
      <c r="MC3" s="39"/>
      <c r="MD3" s="83"/>
      <c r="ME3" s="83"/>
      <c r="MF3" s="39"/>
      <c r="MG3" s="83"/>
      <c r="MH3" s="39"/>
      <c r="MI3" s="83"/>
      <c r="MJ3" s="83"/>
      <c r="MK3" s="39"/>
      <c r="ML3" s="83"/>
      <c r="MM3" s="39"/>
      <c r="MN3" s="83"/>
      <c r="MO3" s="83"/>
      <c r="MP3" s="39"/>
      <c r="MQ3" s="83"/>
      <c r="MR3" s="39"/>
      <c r="MS3" s="83"/>
      <c r="MT3" s="83"/>
      <c r="MU3" s="39"/>
      <c r="MV3" s="83"/>
      <c r="MW3" s="39"/>
      <c r="MX3" s="83"/>
      <c r="MY3" s="83"/>
      <c r="MZ3" s="39"/>
      <c r="NA3" s="83"/>
      <c r="NB3" s="39"/>
      <c r="NC3" s="39"/>
      <c r="ND3" s="39"/>
      <c r="NE3" s="39"/>
      <c r="NF3" s="39"/>
      <c r="NG3" s="39"/>
      <c r="NH3" s="39"/>
      <c r="NI3" s="39"/>
      <c r="NJ3" s="39"/>
      <c r="NK3" s="39"/>
      <c r="NL3" s="39"/>
      <c r="NM3" s="39"/>
      <c r="NN3" s="39"/>
      <c r="NO3" s="39"/>
      <c r="NP3" s="39"/>
      <c r="NQ3" s="39"/>
      <c r="NR3" s="39"/>
      <c r="NS3" s="39"/>
      <c r="NT3" s="39"/>
    </row>
    <row r="4" spans="1:389" ht="3.95" customHeight="1">
      <c r="A4" s="146"/>
      <c r="B4" s="146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1"/>
      <c r="AT4" s="41"/>
      <c r="AU4" s="42"/>
      <c r="AV4" s="42"/>
      <c r="AW4" s="42"/>
      <c r="AX4" s="41"/>
      <c r="AY4" s="41"/>
      <c r="AZ4" s="42"/>
      <c r="BA4" s="42"/>
      <c r="BB4" s="42"/>
      <c r="BC4" s="41"/>
      <c r="BD4" s="41"/>
      <c r="BE4" s="42"/>
      <c r="BF4" s="42"/>
      <c r="BG4" s="42"/>
      <c r="BH4" s="41"/>
      <c r="BI4" s="41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1"/>
      <c r="DB4" s="41"/>
      <c r="DC4" s="42"/>
      <c r="DD4" s="42"/>
      <c r="DE4" s="42"/>
      <c r="DF4" s="41"/>
      <c r="DG4" s="41"/>
      <c r="DH4" s="42"/>
      <c r="DI4" s="42"/>
      <c r="DJ4" s="42"/>
      <c r="DK4" s="41"/>
      <c r="DL4" s="41"/>
      <c r="DM4" s="42"/>
      <c r="DN4" s="42"/>
      <c r="DO4" s="42"/>
      <c r="DP4" s="41"/>
      <c r="DQ4" s="41"/>
      <c r="DR4" s="42"/>
      <c r="DS4" s="42"/>
      <c r="DT4" s="42"/>
      <c r="DU4" s="41"/>
      <c r="DV4" s="41"/>
      <c r="DW4" s="42"/>
      <c r="DX4" s="42"/>
      <c r="DY4" s="42"/>
      <c r="DZ4" s="41"/>
      <c r="EA4" s="41"/>
      <c r="EB4" s="42"/>
      <c r="EC4" s="42"/>
      <c r="ED4" s="42"/>
      <c r="EE4" s="41"/>
      <c r="EF4" s="41"/>
      <c r="EG4" s="42"/>
      <c r="EH4" s="42"/>
      <c r="EI4" s="42"/>
      <c r="EJ4" s="41"/>
      <c r="EK4" s="41"/>
      <c r="EL4" s="42"/>
      <c r="EM4" s="42"/>
      <c r="EN4" s="42"/>
      <c r="EO4" s="41"/>
      <c r="EP4" s="41"/>
      <c r="EQ4" s="42"/>
      <c r="ER4" s="42"/>
      <c r="ES4" s="42"/>
      <c r="ET4" s="41"/>
      <c r="EU4" s="41"/>
      <c r="EV4" s="42"/>
      <c r="EW4" s="42"/>
      <c r="EX4" s="42"/>
      <c r="EY4" s="41"/>
      <c r="EZ4" s="41"/>
      <c r="FA4" s="42"/>
      <c r="FB4" s="42"/>
      <c r="FC4" s="42"/>
      <c r="FD4" s="41"/>
      <c r="FE4" s="41"/>
      <c r="FF4" s="42"/>
      <c r="FG4" s="42"/>
      <c r="FH4" s="42"/>
      <c r="FI4" s="41"/>
      <c r="FJ4" s="41"/>
      <c r="FK4" s="42"/>
      <c r="FL4" s="42"/>
      <c r="FM4" s="42"/>
      <c r="FN4" s="41"/>
      <c r="FO4" s="41"/>
      <c r="FP4" s="42"/>
      <c r="FQ4" s="42"/>
      <c r="FR4" s="42"/>
      <c r="FS4" s="41"/>
      <c r="FT4" s="41"/>
      <c r="FU4" s="42"/>
      <c r="FV4" s="42"/>
      <c r="FW4" s="42"/>
      <c r="FX4" s="41"/>
      <c r="FY4" s="41"/>
      <c r="FZ4" s="42"/>
      <c r="GA4" s="42"/>
      <c r="GB4" s="42"/>
      <c r="GC4" s="41"/>
      <c r="GD4" s="41"/>
      <c r="GE4" s="42"/>
      <c r="GF4" s="42"/>
      <c r="GG4" s="42"/>
      <c r="GH4" s="41"/>
      <c r="GI4" s="41"/>
      <c r="GJ4" s="42"/>
      <c r="GK4" s="42"/>
      <c r="GL4" s="42"/>
      <c r="GM4" s="41"/>
      <c r="GN4" s="41"/>
      <c r="GO4" s="42"/>
      <c r="GP4" s="42"/>
      <c r="GQ4" s="42"/>
      <c r="GR4" s="41"/>
      <c r="GS4" s="41"/>
      <c r="GT4" s="42"/>
      <c r="GU4" s="42"/>
      <c r="GV4" s="42"/>
      <c r="GW4" s="41"/>
      <c r="GX4" s="41"/>
      <c r="GY4" s="42"/>
      <c r="GZ4" s="42"/>
      <c r="HA4" s="42"/>
      <c r="HB4" s="41"/>
      <c r="HC4" s="41"/>
      <c r="HD4" s="42"/>
      <c r="HE4" s="42"/>
      <c r="HF4" s="42"/>
      <c r="HG4" s="41"/>
      <c r="HH4" s="41"/>
      <c r="HI4" s="42"/>
      <c r="HJ4" s="42"/>
      <c r="HK4" s="42"/>
      <c r="HL4" s="41"/>
      <c r="HM4" s="41"/>
      <c r="HN4" s="42"/>
      <c r="HO4" s="42"/>
      <c r="HP4" s="42"/>
      <c r="HQ4" s="41"/>
      <c r="HR4" s="41"/>
      <c r="HS4" s="42"/>
      <c r="HT4" s="42"/>
      <c r="HU4" s="42"/>
      <c r="HV4" s="41"/>
      <c r="HW4" s="41"/>
      <c r="HX4" s="42"/>
      <c r="HY4" s="42"/>
      <c r="HZ4" s="42"/>
      <c r="IA4" s="41"/>
      <c r="IB4" s="41"/>
      <c r="IC4" s="42"/>
      <c r="ID4" s="42"/>
      <c r="IE4" s="42"/>
      <c r="IF4" s="41"/>
      <c r="IG4" s="41"/>
      <c r="IH4" s="42"/>
      <c r="II4" s="42"/>
      <c r="IJ4" s="42"/>
      <c r="IK4" s="41"/>
      <c r="IL4" s="41"/>
      <c r="IM4" s="42"/>
      <c r="IN4" s="42"/>
      <c r="IO4" s="41"/>
      <c r="IP4" s="42"/>
      <c r="IQ4" s="41"/>
      <c r="IR4" s="42"/>
      <c r="IS4" s="42"/>
      <c r="IT4" s="41"/>
      <c r="IU4" s="42"/>
      <c r="IV4" s="41"/>
      <c r="IW4" s="42"/>
      <c r="IX4" s="42"/>
      <c r="IY4" s="41"/>
      <c r="IZ4" s="42"/>
      <c r="JA4" s="41"/>
      <c r="JB4" s="42"/>
      <c r="JC4" s="42"/>
      <c r="JD4" s="41"/>
      <c r="JE4" s="42"/>
      <c r="JF4" s="41"/>
      <c r="JG4" s="42"/>
      <c r="JH4" s="42"/>
      <c r="JI4" s="41"/>
      <c r="JJ4" s="42"/>
      <c r="JK4" s="41"/>
      <c r="JL4" s="42"/>
      <c r="JM4" s="42"/>
      <c r="JN4" s="41"/>
      <c r="JO4" s="42"/>
      <c r="JP4" s="41"/>
      <c r="JQ4" s="42"/>
      <c r="JR4" s="42"/>
      <c r="JS4" s="41"/>
      <c r="JT4" s="42"/>
      <c r="JU4" s="41"/>
      <c r="JV4" s="42"/>
      <c r="JW4" s="42"/>
      <c r="JX4" s="41"/>
      <c r="JY4" s="42"/>
      <c r="JZ4" s="41"/>
      <c r="KA4" s="42"/>
      <c r="KB4" s="42"/>
      <c r="KC4" s="41"/>
      <c r="KD4" s="42"/>
      <c r="KE4" s="41"/>
      <c r="KF4" s="42"/>
      <c r="KG4" s="42"/>
      <c r="KH4" s="41"/>
      <c r="KI4" s="42"/>
      <c r="KJ4" s="41"/>
      <c r="KK4" s="42"/>
      <c r="KL4" s="42"/>
      <c r="KM4" s="41"/>
      <c r="KN4" s="42"/>
      <c r="KO4" s="41"/>
      <c r="KP4" s="42"/>
      <c r="KQ4" s="42"/>
      <c r="KR4" s="41"/>
      <c r="KS4" s="42"/>
      <c r="KT4" s="41"/>
      <c r="KU4" s="42"/>
      <c r="KV4" s="42"/>
      <c r="KW4" s="41"/>
      <c r="KX4" s="42"/>
      <c r="KY4" s="41"/>
      <c r="KZ4" s="42"/>
      <c r="LA4" s="42"/>
      <c r="LB4" s="41"/>
      <c r="LC4" s="42"/>
      <c r="LD4" s="41"/>
      <c r="LE4" s="42"/>
      <c r="LF4" s="42"/>
      <c r="LG4" s="41"/>
      <c r="LH4" s="42"/>
      <c r="LI4" s="41"/>
      <c r="LJ4" s="42"/>
      <c r="LK4" s="42"/>
      <c r="LL4" s="41"/>
      <c r="LM4" s="42"/>
      <c r="LN4" s="41"/>
      <c r="LO4" s="42"/>
      <c r="LP4" s="42"/>
      <c r="LQ4" s="41"/>
      <c r="LR4" s="42"/>
      <c r="LS4" s="41"/>
      <c r="LT4" s="42"/>
      <c r="LU4" s="42"/>
      <c r="LV4" s="41"/>
      <c r="LW4" s="42"/>
      <c r="LX4" s="41"/>
      <c r="LY4" s="42"/>
      <c r="LZ4" s="42"/>
      <c r="MA4" s="41"/>
      <c r="MB4" s="42"/>
      <c r="MC4" s="41"/>
      <c r="MD4" s="42"/>
      <c r="ME4" s="42"/>
      <c r="MF4" s="41"/>
      <c r="MG4" s="42"/>
      <c r="MH4" s="41"/>
      <c r="MI4" s="42"/>
      <c r="MJ4" s="42"/>
      <c r="MK4" s="41"/>
      <c r="ML4" s="42"/>
      <c r="MM4" s="41"/>
      <c r="MN4" s="42"/>
      <c r="MO4" s="42"/>
      <c r="MP4" s="41"/>
      <c r="MQ4" s="42"/>
      <c r="MR4" s="41"/>
      <c r="MS4" s="42"/>
      <c r="MT4" s="42"/>
      <c r="MU4" s="41"/>
      <c r="MV4" s="42"/>
      <c r="MW4" s="41"/>
      <c r="MX4" s="42"/>
      <c r="MY4" s="42"/>
      <c r="MZ4" s="41"/>
      <c r="NA4" s="42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</row>
    <row r="5" spans="1:389" ht="32.25" customHeight="1">
      <c r="A5" s="41"/>
      <c r="B5" s="148" t="s">
        <v>11</v>
      </c>
      <c r="C5" s="145" t="s">
        <v>54</v>
      </c>
      <c r="D5" s="143"/>
      <c r="E5" s="143"/>
      <c r="F5" s="144"/>
      <c r="G5" s="145" t="s">
        <v>55</v>
      </c>
      <c r="H5" s="143"/>
      <c r="I5" s="143"/>
      <c r="J5" s="143"/>
      <c r="K5" s="144"/>
      <c r="L5" s="145" t="s">
        <v>56</v>
      </c>
      <c r="M5" s="143"/>
      <c r="N5" s="143"/>
      <c r="O5" s="143"/>
      <c r="P5" s="144"/>
      <c r="Q5" s="145" t="s">
        <v>57</v>
      </c>
      <c r="R5" s="143"/>
      <c r="S5" s="143"/>
      <c r="T5" s="143"/>
      <c r="U5" s="144"/>
      <c r="V5" s="145" t="s">
        <v>58</v>
      </c>
      <c r="W5" s="143"/>
      <c r="X5" s="143"/>
      <c r="Y5" s="143"/>
      <c r="Z5" s="144"/>
      <c r="AA5" s="145" t="s">
        <v>59</v>
      </c>
      <c r="AB5" s="143"/>
      <c r="AC5" s="143"/>
      <c r="AD5" s="143"/>
      <c r="AE5" s="144"/>
      <c r="AF5" s="145" t="s">
        <v>60</v>
      </c>
      <c r="AG5" s="143"/>
      <c r="AH5" s="143"/>
      <c r="AI5" s="143"/>
      <c r="AJ5" s="144"/>
      <c r="AK5" s="145" t="s">
        <v>61</v>
      </c>
      <c r="AL5" s="143"/>
      <c r="AM5" s="143"/>
      <c r="AN5" s="143"/>
      <c r="AO5" s="144"/>
      <c r="AP5" s="145" t="s">
        <v>62</v>
      </c>
      <c r="AQ5" s="143"/>
      <c r="AR5" s="143"/>
      <c r="AS5" s="143"/>
      <c r="AT5" s="144"/>
      <c r="AU5" s="145" t="s">
        <v>63</v>
      </c>
      <c r="AV5" s="143"/>
      <c r="AW5" s="143"/>
      <c r="AX5" s="143"/>
      <c r="AY5" s="144"/>
      <c r="AZ5" s="145" t="s">
        <v>64</v>
      </c>
      <c r="BA5" s="143"/>
      <c r="BB5" s="143"/>
      <c r="BC5" s="143"/>
      <c r="BD5" s="144"/>
      <c r="BE5" s="145" t="s">
        <v>65</v>
      </c>
      <c r="BF5" s="143"/>
      <c r="BG5" s="143"/>
      <c r="BH5" s="143"/>
      <c r="BI5" s="144"/>
      <c r="BJ5" s="145" t="s">
        <v>66</v>
      </c>
      <c r="BK5" s="143"/>
      <c r="BL5" s="143"/>
      <c r="BM5" s="143"/>
      <c r="BN5" s="144"/>
      <c r="BO5" s="145" t="s">
        <v>67</v>
      </c>
      <c r="BP5" s="143"/>
      <c r="BQ5" s="143"/>
      <c r="BR5" s="143"/>
      <c r="BS5" s="144"/>
      <c r="BT5" s="145" t="s">
        <v>68</v>
      </c>
      <c r="BU5" s="143"/>
      <c r="BV5" s="143"/>
      <c r="BW5" s="143"/>
      <c r="BX5" s="144"/>
      <c r="BY5" s="145" t="s">
        <v>69</v>
      </c>
      <c r="BZ5" s="143"/>
      <c r="CA5" s="143"/>
      <c r="CB5" s="143"/>
      <c r="CC5" s="144"/>
      <c r="CD5" s="145" t="s">
        <v>70</v>
      </c>
      <c r="CE5" s="143"/>
      <c r="CF5" s="143"/>
      <c r="CG5" s="143"/>
      <c r="CH5" s="144"/>
      <c r="CI5" s="145" t="s">
        <v>71</v>
      </c>
      <c r="CJ5" s="143"/>
      <c r="CK5" s="143"/>
      <c r="CL5" s="143"/>
      <c r="CM5" s="144"/>
      <c r="CN5" s="145" t="s">
        <v>72</v>
      </c>
      <c r="CO5" s="143"/>
      <c r="CP5" s="143"/>
      <c r="CQ5" s="143"/>
      <c r="CR5" s="144"/>
      <c r="CS5" s="145" t="s">
        <v>73</v>
      </c>
      <c r="CT5" s="143"/>
      <c r="CU5" s="143"/>
      <c r="CV5" s="143"/>
      <c r="CW5" s="144"/>
      <c r="CX5" s="145" t="s">
        <v>74</v>
      </c>
      <c r="CY5" s="143"/>
      <c r="CZ5" s="143"/>
      <c r="DA5" s="143"/>
      <c r="DB5" s="144"/>
      <c r="DC5" s="145" t="s">
        <v>75</v>
      </c>
      <c r="DD5" s="143"/>
      <c r="DE5" s="143"/>
      <c r="DF5" s="143"/>
      <c r="DG5" s="144"/>
      <c r="DH5" s="145" t="s">
        <v>76</v>
      </c>
      <c r="DI5" s="143"/>
      <c r="DJ5" s="143"/>
      <c r="DK5" s="143"/>
      <c r="DL5" s="144"/>
      <c r="DM5" s="145" t="s">
        <v>77</v>
      </c>
      <c r="DN5" s="143"/>
      <c r="DO5" s="143"/>
      <c r="DP5" s="143"/>
      <c r="DQ5" s="144"/>
      <c r="DR5" s="145" t="s">
        <v>78</v>
      </c>
      <c r="DS5" s="143"/>
      <c r="DT5" s="143"/>
      <c r="DU5" s="143"/>
      <c r="DV5" s="144"/>
      <c r="DW5" s="145" t="s">
        <v>79</v>
      </c>
      <c r="DX5" s="143"/>
      <c r="DY5" s="143"/>
      <c r="DZ5" s="143"/>
      <c r="EA5" s="144"/>
      <c r="EB5" s="145" t="s">
        <v>80</v>
      </c>
      <c r="EC5" s="143"/>
      <c r="ED5" s="143"/>
      <c r="EE5" s="143"/>
      <c r="EF5" s="144"/>
      <c r="EG5" s="145" t="s">
        <v>81</v>
      </c>
      <c r="EH5" s="143"/>
      <c r="EI5" s="143"/>
      <c r="EJ5" s="143"/>
      <c r="EK5" s="144"/>
      <c r="EL5" s="145" t="s">
        <v>82</v>
      </c>
      <c r="EM5" s="143"/>
      <c r="EN5" s="143"/>
      <c r="EO5" s="143"/>
      <c r="EP5" s="144"/>
      <c r="EQ5" s="145" t="s">
        <v>83</v>
      </c>
      <c r="ER5" s="143"/>
      <c r="ES5" s="143"/>
      <c r="ET5" s="143"/>
      <c r="EU5" s="144"/>
      <c r="EV5" s="145" t="s">
        <v>84</v>
      </c>
      <c r="EW5" s="143"/>
      <c r="EX5" s="143"/>
      <c r="EY5" s="143"/>
      <c r="EZ5" s="144"/>
      <c r="FA5" s="145" t="s">
        <v>85</v>
      </c>
      <c r="FB5" s="143"/>
      <c r="FC5" s="143"/>
      <c r="FD5" s="143"/>
      <c r="FE5" s="144"/>
      <c r="FF5" s="145" t="s">
        <v>86</v>
      </c>
      <c r="FG5" s="143"/>
      <c r="FH5" s="143"/>
      <c r="FI5" s="143"/>
      <c r="FJ5" s="144"/>
      <c r="FK5" s="145" t="s">
        <v>87</v>
      </c>
      <c r="FL5" s="143"/>
      <c r="FM5" s="143"/>
      <c r="FN5" s="143"/>
      <c r="FO5" s="144"/>
      <c r="FP5" s="145" t="s">
        <v>88</v>
      </c>
      <c r="FQ5" s="143"/>
      <c r="FR5" s="143"/>
      <c r="FS5" s="143"/>
      <c r="FT5" s="144"/>
      <c r="FU5" s="145" t="s">
        <v>89</v>
      </c>
      <c r="FV5" s="143"/>
      <c r="FW5" s="143"/>
      <c r="FX5" s="143"/>
      <c r="FY5" s="144"/>
      <c r="FZ5" s="145" t="s">
        <v>90</v>
      </c>
      <c r="GA5" s="143"/>
      <c r="GB5" s="143"/>
      <c r="GC5" s="143"/>
      <c r="GD5" s="144"/>
      <c r="GE5" s="145" t="s">
        <v>91</v>
      </c>
      <c r="GF5" s="143"/>
      <c r="GG5" s="143"/>
      <c r="GH5" s="143"/>
      <c r="GI5" s="144"/>
      <c r="GJ5" s="145" t="s">
        <v>92</v>
      </c>
      <c r="GK5" s="143"/>
      <c r="GL5" s="143"/>
      <c r="GM5" s="143"/>
      <c r="GN5" s="144"/>
      <c r="GO5" s="145" t="s">
        <v>93</v>
      </c>
      <c r="GP5" s="143"/>
      <c r="GQ5" s="143"/>
      <c r="GR5" s="143"/>
      <c r="GS5" s="144"/>
      <c r="GT5" s="145" t="s">
        <v>94</v>
      </c>
      <c r="GU5" s="143"/>
      <c r="GV5" s="143"/>
      <c r="GW5" s="143"/>
      <c r="GX5" s="144"/>
      <c r="GY5" s="145" t="s">
        <v>95</v>
      </c>
      <c r="GZ5" s="143"/>
      <c r="HA5" s="143"/>
      <c r="HB5" s="143"/>
      <c r="HC5" s="144"/>
      <c r="HD5" s="145" t="s">
        <v>96</v>
      </c>
      <c r="HE5" s="143"/>
      <c r="HF5" s="143"/>
      <c r="HG5" s="143"/>
      <c r="HH5" s="144"/>
      <c r="HI5" s="145" t="s">
        <v>97</v>
      </c>
      <c r="HJ5" s="143"/>
      <c r="HK5" s="143"/>
      <c r="HL5" s="143"/>
      <c r="HM5" s="144"/>
      <c r="HN5" s="145" t="s">
        <v>98</v>
      </c>
      <c r="HO5" s="143"/>
      <c r="HP5" s="143"/>
      <c r="HQ5" s="143"/>
      <c r="HR5" s="144"/>
      <c r="HS5" s="145" t="s">
        <v>99</v>
      </c>
      <c r="HT5" s="143"/>
      <c r="HU5" s="143"/>
      <c r="HV5" s="143"/>
      <c r="HW5" s="144"/>
      <c r="HX5" s="145" t="s">
        <v>100</v>
      </c>
      <c r="HY5" s="143"/>
      <c r="HZ5" s="143"/>
      <c r="IA5" s="143"/>
      <c r="IB5" s="144"/>
      <c r="IC5" s="145" t="s">
        <v>101</v>
      </c>
      <c r="ID5" s="143"/>
      <c r="IE5" s="143"/>
      <c r="IF5" s="143"/>
      <c r="IG5" s="144"/>
      <c r="IH5" s="145" t="s">
        <v>102</v>
      </c>
      <c r="II5" s="143"/>
      <c r="IJ5" s="143"/>
      <c r="IK5" s="143"/>
      <c r="IL5" s="144"/>
      <c r="IM5" s="142" t="s">
        <v>103</v>
      </c>
      <c r="IN5" s="143"/>
      <c r="IO5" s="143"/>
      <c r="IP5" s="143"/>
      <c r="IQ5" s="144"/>
      <c r="IR5" s="142" t="s">
        <v>104</v>
      </c>
      <c r="IS5" s="143"/>
      <c r="IT5" s="143"/>
      <c r="IU5" s="143"/>
      <c r="IV5" s="144"/>
      <c r="IW5" s="142" t="s">
        <v>105</v>
      </c>
      <c r="IX5" s="143"/>
      <c r="IY5" s="143"/>
      <c r="IZ5" s="143"/>
      <c r="JA5" s="144"/>
      <c r="JB5" s="142" t="s">
        <v>106</v>
      </c>
      <c r="JC5" s="143"/>
      <c r="JD5" s="143"/>
      <c r="JE5" s="143"/>
      <c r="JF5" s="144"/>
      <c r="JG5" s="142" t="s">
        <v>107</v>
      </c>
      <c r="JH5" s="143"/>
      <c r="JI5" s="143"/>
      <c r="JJ5" s="143"/>
      <c r="JK5" s="144"/>
      <c r="JL5" s="142" t="s">
        <v>108</v>
      </c>
      <c r="JM5" s="143"/>
      <c r="JN5" s="143"/>
      <c r="JO5" s="143"/>
      <c r="JP5" s="144"/>
      <c r="JQ5" s="142" t="s">
        <v>109</v>
      </c>
      <c r="JR5" s="143"/>
      <c r="JS5" s="143"/>
      <c r="JT5" s="143"/>
      <c r="JU5" s="144"/>
      <c r="JV5" s="142" t="s">
        <v>110</v>
      </c>
      <c r="JW5" s="143"/>
      <c r="JX5" s="143"/>
      <c r="JY5" s="143"/>
      <c r="JZ5" s="144"/>
      <c r="KA5" s="142" t="s">
        <v>111</v>
      </c>
      <c r="KB5" s="143"/>
      <c r="KC5" s="143"/>
      <c r="KD5" s="143"/>
      <c r="KE5" s="144"/>
      <c r="KF5" s="121" t="s">
        <v>112</v>
      </c>
      <c r="KG5" s="121"/>
      <c r="KH5" s="121"/>
      <c r="KI5" s="121"/>
      <c r="KJ5" s="121"/>
      <c r="KK5" s="121" t="s">
        <v>113</v>
      </c>
      <c r="KL5" s="121"/>
      <c r="KM5" s="121"/>
      <c r="KN5" s="121"/>
      <c r="KO5" s="121"/>
      <c r="KP5" s="121" t="s">
        <v>114</v>
      </c>
      <c r="KQ5" s="121"/>
      <c r="KR5" s="121"/>
      <c r="KS5" s="121"/>
      <c r="KT5" s="121"/>
      <c r="KU5" s="121" t="s">
        <v>115</v>
      </c>
      <c r="KV5" s="121"/>
      <c r="KW5" s="121"/>
      <c r="KX5" s="121"/>
      <c r="KY5" s="121"/>
      <c r="KZ5" s="121" t="s">
        <v>116</v>
      </c>
      <c r="LA5" s="121"/>
      <c r="LB5" s="121"/>
      <c r="LC5" s="121"/>
      <c r="LD5" s="121"/>
      <c r="LE5" s="121" t="s">
        <v>117</v>
      </c>
      <c r="LF5" s="121"/>
      <c r="LG5" s="121"/>
      <c r="LH5" s="121"/>
      <c r="LI5" s="121"/>
      <c r="LJ5" s="121" t="s">
        <v>118</v>
      </c>
      <c r="LK5" s="121"/>
      <c r="LL5" s="121"/>
      <c r="LM5" s="121"/>
      <c r="LN5" s="121"/>
      <c r="LO5" s="121" t="s">
        <v>119</v>
      </c>
      <c r="LP5" s="121"/>
      <c r="LQ5" s="121"/>
      <c r="LR5" s="121"/>
      <c r="LS5" s="121"/>
      <c r="LT5" s="121" t="s">
        <v>120</v>
      </c>
      <c r="LU5" s="121"/>
      <c r="LV5" s="121"/>
      <c r="LW5" s="121"/>
      <c r="LX5" s="121"/>
      <c r="LY5" s="121" t="s">
        <v>121</v>
      </c>
      <c r="LZ5" s="121"/>
      <c r="MA5" s="121"/>
      <c r="MB5" s="121"/>
      <c r="MC5" s="121"/>
      <c r="MD5" s="121" t="s">
        <v>122</v>
      </c>
      <c r="ME5" s="121"/>
      <c r="MF5" s="121"/>
      <c r="MG5" s="121"/>
      <c r="MH5" s="121"/>
      <c r="MI5" s="121" t="s">
        <v>123</v>
      </c>
      <c r="MJ5" s="121"/>
      <c r="MK5" s="121"/>
      <c r="ML5" s="121"/>
      <c r="MM5" s="121"/>
      <c r="MN5" s="121" t="s">
        <v>124</v>
      </c>
      <c r="MO5" s="121"/>
      <c r="MP5" s="121"/>
      <c r="MQ5" s="121"/>
      <c r="MR5" s="121"/>
      <c r="MS5" s="121" t="s">
        <v>125</v>
      </c>
      <c r="MT5" s="121"/>
      <c r="MU5" s="121"/>
      <c r="MV5" s="121"/>
      <c r="MW5" s="121"/>
      <c r="MX5" s="121" t="s">
        <v>126</v>
      </c>
      <c r="MY5" s="121"/>
      <c r="MZ5" s="121"/>
      <c r="NA5" s="121"/>
      <c r="NB5" s="121"/>
      <c r="NC5" s="121" t="s">
        <v>127</v>
      </c>
      <c r="ND5" s="121"/>
      <c r="NE5" s="121"/>
      <c r="NF5" s="121"/>
      <c r="NG5" s="121"/>
      <c r="NH5" s="121" t="s">
        <v>148</v>
      </c>
      <c r="NI5" s="121"/>
      <c r="NJ5" s="121"/>
      <c r="NK5" s="121"/>
      <c r="NL5" s="121"/>
      <c r="NM5" s="129" t="s">
        <v>130</v>
      </c>
      <c r="NN5" s="130"/>
      <c r="NO5" s="130"/>
      <c r="NP5" s="131"/>
      <c r="NQ5" s="123" t="s">
        <v>150</v>
      </c>
      <c r="NR5" s="124"/>
      <c r="NS5" s="124"/>
      <c r="NT5" s="125"/>
      <c r="NU5" s="41"/>
    </row>
    <row r="6" spans="1:389" ht="32.25" customHeight="1">
      <c r="A6" s="84"/>
      <c r="B6" s="149"/>
      <c r="C6" s="34" t="s">
        <v>53</v>
      </c>
      <c r="D6" s="38" t="s">
        <v>2</v>
      </c>
      <c r="E6" s="38" t="s">
        <v>3</v>
      </c>
      <c r="F6" s="34" t="s">
        <v>4</v>
      </c>
      <c r="G6" s="34" t="s">
        <v>53</v>
      </c>
      <c r="H6" s="38" t="s">
        <v>2</v>
      </c>
      <c r="I6" s="38" t="s">
        <v>3</v>
      </c>
      <c r="J6" s="34" t="s">
        <v>4</v>
      </c>
      <c r="K6" s="34" t="s">
        <v>5</v>
      </c>
      <c r="L6" s="34" t="s">
        <v>53</v>
      </c>
      <c r="M6" s="38" t="s">
        <v>2</v>
      </c>
      <c r="N6" s="38" t="s">
        <v>3</v>
      </c>
      <c r="O6" s="34" t="s">
        <v>4</v>
      </c>
      <c r="P6" s="34" t="s">
        <v>5</v>
      </c>
      <c r="Q6" s="34" t="s">
        <v>53</v>
      </c>
      <c r="R6" s="38" t="s">
        <v>2</v>
      </c>
      <c r="S6" s="38" t="s">
        <v>3</v>
      </c>
      <c r="T6" s="34" t="s">
        <v>4</v>
      </c>
      <c r="U6" s="34" t="s">
        <v>5</v>
      </c>
      <c r="V6" s="34" t="s">
        <v>53</v>
      </c>
      <c r="W6" s="38" t="s">
        <v>2</v>
      </c>
      <c r="X6" s="38" t="s">
        <v>3</v>
      </c>
      <c r="Y6" s="34" t="s">
        <v>4</v>
      </c>
      <c r="Z6" s="34" t="s">
        <v>5</v>
      </c>
      <c r="AA6" s="34" t="s">
        <v>53</v>
      </c>
      <c r="AB6" s="38" t="s">
        <v>2</v>
      </c>
      <c r="AC6" s="38" t="s">
        <v>3</v>
      </c>
      <c r="AD6" s="34" t="s">
        <v>4</v>
      </c>
      <c r="AE6" s="34" t="s">
        <v>5</v>
      </c>
      <c r="AF6" s="34" t="s">
        <v>53</v>
      </c>
      <c r="AG6" s="38" t="s">
        <v>2</v>
      </c>
      <c r="AH6" s="38" t="s">
        <v>3</v>
      </c>
      <c r="AI6" s="34" t="s">
        <v>4</v>
      </c>
      <c r="AJ6" s="34" t="s">
        <v>5</v>
      </c>
      <c r="AK6" s="34" t="s">
        <v>53</v>
      </c>
      <c r="AL6" s="38" t="s">
        <v>2</v>
      </c>
      <c r="AM6" s="38" t="s">
        <v>3</v>
      </c>
      <c r="AN6" s="34" t="s">
        <v>4</v>
      </c>
      <c r="AO6" s="34" t="s">
        <v>5</v>
      </c>
      <c r="AP6" s="34" t="s">
        <v>53</v>
      </c>
      <c r="AQ6" s="38" t="s">
        <v>2</v>
      </c>
      <c r="AR6" s="38" t="s">
        <v>3</v>
      </c>
      <c r="AS6" s="34" t="s">
        <v>4</v>
      </c>
      <c r="AT6" s="34" t="s">
        <v>5</v>
      </c>
      <c r="AU6" s="34" t="s">
        <v>53</v>
      </c>
      <c r="AV6" s="38" t="s">
        <v>2</v>
      </c>
      <c r="AW6" s="38" t="s">
        <v>3</v>
      </c>
      <c r="AX6" s="34" t="s">
        <v>4</v>
      </c>
      <c r="AY6" s="34" t="s">
        <v>5</v>
      </c>
      <c r="AZ6" s="34" t="s">
        <v>53</v>
      </c>
      <c r="BA6" s="38" t="s">
        <v>2</v>
      </c>
      <c r="BB6" s="38" t="s">
        <v>3</v>
      </c>
      <c r="BC6" s="34" t="s">
        <v>4</v>
      </c>
      <c r="BD6" s="34" t="s">
        <v>5</v>
      </c>
      <c r="BE6" s="34" t="s">
        <v>53</v>
      </c>
      <c r="BF6" s="38" t="s">
        <v>2</v>
      </c>
      <c r="BG6" s="38" t="s">
        <v>3</v>
      </c>
      <c r="BH6" s="34" t="s">
        <v>4</v>
      </c>
      <c r="BI6" s="34" t="s">
        <v>5</v>
      </c>
      <c r="BJ6" s="34" t="s">
        <v>53</v>
      </c>
      <c r="BK6" s="38" t="s">
        <v>2</v>
      </c>
      <c r="BL6" s="38" t="s">
        <v>3</v>
      </c>
      <c r="BM6" s="38" t="s">
        <v>4</v>
      </c>
      <c r="BN6" s="34" t="s">
        <v>5</v>
      </c>
      <c r="BO6" s="34" t="s">
        <v>53</v>
      </c>
      <c r="BP6" s="38" t="s">
        <v>2</v>
      </c>
      <c r="BQ6" s="38" t="s">
        <v>3</v>
      </c>
      <c r="BR6" s="34" t="s">
        <v>4</v>
      </c>
      <c r="BS6" s="34" t="s">
        <v>5</v>
      </c>
      <c r="BT6" s="34" t="s">
        <v>53</v>
      </c>
      <c r="BU6" s="38" t="s">
        <v>2</v>
      </c>
      <c r="BV6" s="38" t="s">
        <v>3</v>
      </c>
      <c r="BW6" s="34" t="s">
        <v>4</v>
      </c>
      <c r="BX6" s="34" t="s">
        <v>5</v>
      </c>
      <c r="BY6" s="34" t="s">
        <v>53</v>
      </c>
      <c r="BZ6" s="38" t="s">
        <v>2</v>
      </c>
      <c r="CA6" s="38" t="s">
        <v>3</v>
      </c>
      <c r="CB6" s="34" t="s">
        <v>4</v>
      </c>
      <c r="CC6" s="34" t="s">
        <v>5</v>
      </c>
      <c r="CD6" s="34" t="s">
        <v>53</v>
      </c>
      <c r="CE6" s="38" t="s">
        <v>2</v>
      </c>
      <c r="CF6" s="38" t="s">
        <v>3</v>
      </c>
      <c r="CG6" s="34" t="s">
        <v>4</v>
      </c>
      <c r="CH6" s="34" t="s">
        <v>5</v>
      </c>
      <c r="CI6" s="34" t="s">
        <v>53</v>
      </c>
      <c r="CJ6" s="38" t="s">
        <v>2</v>
      </c>
      <c r="CK6" s="38" t="s">
        <v>3</v>
      </c>
      <c r="CL6" s="34" t="s">
        <v>4</v>
      </c>
      <c r="CM6" s="34" t="s">
        <v>5</v>
      </c>
      <c r="CN6" s="34" t="s">
        <v>53</v>
      </c>
      <c r="CO6" s="38" t="s">
        <v>2</v>
      </c>
      <c r="CP6" s="38" t="s">
        <v>3</v>
      </c>
      <c r="CQ6" s="34" t="s">
        <v>4</v>
      </c>
      <c r="CR6" s="34" t="s">
        <v>5</v>
      </c>
      <c r="CS6" s="34" t="s">
        <v>53</v>
      </c>
      <c r="CT6" s="38" t="s">
        <v>2</v>
      </c>
      <c r="CU6" s="38" t="s">
        <v>3</v>
      </c>
      <c r="CV6" s="34" t="s">
        <v>4</v>
      </c>
      <c r="CW6" s="34" t="s">
        <v>5</v>
      </c>
      <c r="CX6" s="34" t="s">
        <v>53</v>
      </c>
      <c r="CY6" s="38" t="s">
        <v>2</v>
      </c>
      <c r="CZ6" s="38" t="s">
        <v>3</v>
      </c>
      <c r="DA6" s="34" t="s">
        <v>4</v>
      </c>
      <c r="DB6" s="34" t="s">
        <v>5</v>
      </c>
      <c r="DC6" s="34" t="s">
        <v>53</v>
      </c>
      <c r="DD6" s="38" t="s">
        <v>2</v>
      </c>
      <c r="DE6" s="38" t="s">
        <v>3</v>
      </c>
      <c r="DF6" s="34" t="s">
        <v>4</v>
      </c>
      <c r="DG6" s="34" t="s">
        <v>5</v>
      </c>
      <c r="DH6" s="34" t="s">
        <v>53</v>
      </c>
      <c r="DI6" s="38" t="s">
        <v>2</v>
      </c>
      <c r="DJ6" s="38" t="s">
        <v>3</v>
      </c>
      <c r="DK6" s="34" t="s">
        <v>4</v>
      </c>
      <c r="DL6" s="34" t="s">
        <v>5</v>
      </c>
      <c r="DM6" s="34" t="s">
        <v>53</v>
      </c>
      <c r="DN6" s="38" t="s">
        <v>2</v>
      </c>
      <c r="DO6" s="38" t="s">
        <v>3</v>
      </c>
      <c r="DP6" s="34" t="s">
        <v>4</v>
      </c>
      <c r="DQ6" s="34" t="s">
        <v>5</v>
      </c>
      <c r="DR6" s="34" t="s">
        <v>53</v>
      </c>
      <c r="DS6" s="38" t="s">
        <v>2</v>
      </c>
      <c r="DT6" s="38" t="s">
        <v>3</v>
      </c>
      <c r="DU6" s="34" t="s">
        <v>4</v>
      </c>
      <c r="DV6" s="34" t="s">
        <v>5</v>
      </c>
      <c r="DW6" s="34" t="s">
        <v>53</v>
      </c>
      <c r="DX6" s="38" t="s">
        <v>2</v>
      </c>
      <c r="DY6" s="38" t="s">
        <v>3</v>
      </c>
      <c r="DZ6" s="34" t="s">
        <v>4</v>
      </c>
      <c r="EA6" s="34" t="s">
        <v>5</v>
      </c>
      <c r="EB6" s="34" t="s">
        <v>53</v>
      </c>
      <c r="EC6" s="38" t="s">
        <v>2</v>
      </c>
      <c r="ED6" s="38" t="s">
        <v>3</v>
      </c>
      <c r="EE6" s="34" t="s">
        <v>4</v>
      </c>
      <c r="EF6" s="34" t="s">
        <v>5</v>
      </c>
      <c r="EG6" s="34" t="s">
        <v>53</v>
      </c>
      <c r="EH6" s="38" t="s">
        <v>2</v>
      </c>
      <c r="EI6" s="38" t="s">
        <v>3</v>
      </c>
      <c r="EJ6" s="34" t="s">
        <v>4</v>
      </c>
      <c r="EK6" s="34" t="s">
        <v>5</v>
      </c>
      <c r="EL6" s="34" t="s">
        <v>53</v>
      </c>
      <c r="EM6" s="38" t="s">
        <v>2</v>
      </c>
      <c r="EN6" s="38" t="s">
        <v>3</v>
      </c>
      <c r="EO6" s="34" t="s">
        <v>4</v>
      </c>
      <c r="EP6" s="34" t="s">
        <v>5</v>
      </c>
      <c r="EQ6" s="34" t="s">
        <v>53</v>
      </c>
      <c r="ER6" s="38" t="s">
        <v>2</v>
      </c>
      <c r="ES6" s="38" t="s">
        <v>3</v>
      </c>
      <c r="ET6" s="34" t="s">
        <v>4</v>
      </c>
      <c r="EU6" s="34" t="s">
        <v>5</v>
      </c>
      <c r="EV6" s="34" t="s">
        <v>53</v>
      </c>
      <c r="EW6" s="38" t="s">
        <v>2</v>
      </c>
      <c r="EX6" s="38" t="s">
        <v>3</v>
      </c>
      <c r="EY6" s="34" t="s">
        <v>4</v>
      </c>
      <c r="EZ6" s="34" t="s">
        <v>5</v>
      </c>
      <c r="FA6" s="34" t="s">
        <v>53</v>
      </c>
      <c r="FB6" s="38" t="s">
        <v>2</v>
      </c>
      <c r="FC6" s="38" t="s">
        <v>3</v>
      </c>
      <c r="FD6" s="34" t="s">
        <v>4</v>
      </c>
      <c r="FE6" s="34" t="s">
        <v>5</v>
      </c>
      <c r="FF6" s="34" t="s">
        <v>53</v>
      </c>
      <c r="FG6" s="38" t="s">
        <v>2</v>
      </c>
      <c r="FH6" s="38" t="s">
        <v>3</v>
      </c>
      <c r="FI6" s="34" t="s">
        <v>4</v>
      </c>
      <c r="FJ6" s="34" t="s">
        <v>5</v>
      </c>
      <c r="FK6" s="34" t="s">
        <v>53</v>
      </c>
      <c r="FL6" s="38" t="s">
        <v>2</v>
      </c>
      <c r="FM6" s="38" t="s">
        <v>3</v>
      </c>
      <c r="FN6" s="34" t="s">
        <v>4</v>
      </c>
      <c r="FO6" s="34" t="s">
        <v>5</v>
      </c>
      <c r="FP6" s="34" t="s">
        <v>53</v>
      </c>
      <c r="FQ6" s="38" t="s">
        <v>2</v>
      </c>
      <c r="FR6" s="38" t="s">
        <v>3</v>
      </c>
      <c r="FS6" s="34" t="s">
        <v>4</v>
      </c>
      <c r="FT6" s="34" t="s">
        <v>5</v>
      </c>
      <c r="FU6" s="34" t="s">
        <v>53</v>
      </c>
      <c r="FV6" s="38" t="s">
        <v>2</v>
      </c>
      <c r="FW6" s="38" t="s">
        <v>3</v>
      </c>
      <c r="FX6" s="34" t="s">
        <v>4</v>
      </c>
      <c r="FY6" s="34" t="s">
        <v>5</v>
      </c>
      <c r="FZ6" s="34" t="s">
        <v>53</v>
      </c>
      <c r="GA6" s="38" t="s">
        <v>2</v>
      </c>
      <c r="GB6" s="38" t="s">
        <v>3</v>
      </c>
      <c r="GC6" s="34" t="s">
        <v>4</v>
      </c>
      <c r="GD6" s="34" t="s">
        <v>5</v>
      </c>
      <c r="GE6" s="34" t="s">
        <v>53</v>
      </c>
      <c r="GF6" s="38" t="s">
        <v>2</v>
      </c>
      <c r="GG6" s="38" t="s">
        <v>3</v>
      </c>
      <c r="GH6" s="34" t="s">
        <v>4</v>
      </c>
      <c r="GI6" s="34" t="s">
        <v>5</v>
      </c>
      <c r="GJ6" s="34" t="s">
        <v>53</v>
      </c>
      <c r="GK6" s="38" t="s">
        <v>2</v>
      </c>
      <c r="GL6" s="38" t="s">
        <v>3</v>
      </c>
      <c r="GM6" s="34" t="s">
        <v>4</v>
      </c>
      <c r="GN6" s="34" t="s">
        <v>5</v>
      </c>
      <c r="GO6" s="34" t="s">
        <v>53</v>
      </c>
      <c r="GP6" s="38" t="s">
        <v>2</v>
      </c>
      <c r="GQ6" s="38" t="s">
        <v>3</v>
      </c>
      <c r="GR6" s="34" t="s">
        <v>4</v>
      </c>
      <c r="GS6" s="34" t="s">
        <v>5</v>
      </c>
      <c r="GT6" s="34" t="s">
        <v>53</v>
      </c>
      <c r="GU6" s="38" t="s">
        <v>2</v>
      </c>
      <c r="GV6" s="38" t="s">
        <v>3</v>
      </c>
      <c r="GW6" s="34" t="s">
        <v>4</v>
      </c>
      <c r="GX6" s="34" t="s">
        <v>5</v>
      </c>
      <c r="GY6" s="34" t="s">
        <v>53</v>
      </c>
      <c r="GZ6" s="38" t="s">
        <v>2</v>
      </c>
      <c r="HA6" s="38" t="s">
        <v>3</v>
      </c>
      <c r="HB6" s="34" t="s">
        <v>4</v>
      </c>
      <c r="HC6" s="34" t="s">
        <v>5</v>
      </c>
      <c r="HD6" s="34" t="s">
        <v>53</v>
      </c>
      <c r="HE6" s="38" t="s">
        <v>2</v>
      </c>
      <c r="HF6" s="38" t="s">
        <v>3</v>
      </c>
      <c r="HG6" s="34" t="s">
        <v>4</v>
      </c>
      <c r="HH6" s="34" t="s">
        <v>5</v>
      </c>
      <c r="HI6" s="34" t="s">
        <v>53</v>
      </c>
      <c r="HJ6" s="38" t="s">
        <v>2</v>
      </c>
      <c r="HK6" s="38" t="s">
        <v>3</v>
      </c>
      <c r="HL6" s="34" t="s">
        <v>4</v>
      </c>
      <c r="HM6" s="34" t="s">
        <v>5</v>
      </c>
      <c r="HN6" s="34" t="s">
        <v>53</v>
      </c>
      <c r="HO6" s="38" t="s">
        <v>2</v>
      </c>
      <c r="HP6" s="38" t="s">
        <v>3</v>
      </c>
      <c r="HQ6" s="34" t="s">
        <v>4</v>
      </c>
      <c r="HR6" s="34" t="s">
        <v>5</v>
      </c>
      <c r="HS6" s="34" t="s">
        <v>53</v>
      </c>
      <c r="HT6" s="38" t="s">
        <v>2</v>
      </c>
      <c r="HU6" s="38" t="s">
        <v>3</v>
      </c>
      <c r="HV6" s="34" t="s">
        <v>4</v>
      </c>
      <c r="HW6" s="34" t="s">
        <v>5</v>
      </c>
      <c r="HX6" s="34" t="s">
        <v>53</v>
      </c>
      <c r="HY6" s="38" t="s">
        <v>2</v>
      </c>
      <c r="HZ6" s="38" t="s">
        <v>3</v>
      </c>
      <c r="IA6" s="34" t="s">
        <v>4</v>
      </c>
      <c r="IB6" s="34" t="s">
        <v>5</v>
      </c>
      <c r="IC6" s="34" t="s">
        <v>131</v>
      </c>
      <c r="ID6" s="38" t="s">
        <v>2</v>
      </c>
      <c r="IE6" s="38" t="s">
        <v>3</v>
      </c>
      <c r="IF6" s="34" t="s">
        <v>4</v>
      </c>
      <c r="IG6" s="34" t="s">
        <v>5</v>
      </c>
      <c r="IH6" s="34" t="s">
        <v>53</v>
      </c>
      <c r="II6" s="38" t="s">
        <v>2</v>
      </c>
      <c r="IJ6" s="38" t="s">
        <v>3</v>
      </c>
      <c r="IK6" s="34" t="s">
        <v>4</v>
      </c>
      <c r="IL6" s="34" t="s">
        <v>5</v>
      </c>
      <c r="IM6" s="34" t="s">
        <v>53</v>
      </c>
      <c r="IN6" s="38" t="s">
        <v>2</v>
      </c>
      <c r="IO6" s="38" t="s">
        <v>3</v>
      </c>
      <c r="IP6" s="34" t="s">
        <v>4</v>
      </c>
      <c r="IQ6" s="34" t="s">
        <v>5</v>
      </c>
      <c r="IR6" s="34" t="s">
        <v>53</v>
      </c>
      <c r="IS6" s="38" t="s">
        <v>2</v>
      </c>
      <c r="IT6" s="38" t="s">
        <v>3</v>
      </c>
      <c r="IU6" s="34" t="s">
        <v>4</v>
      </c>
      <c r="IV6" s="34" t="s">
        <v>5</v>
      </c>
      <c r="IW6" s="34" t="s">
        <v>53</v>
      </c>
      <c r="IX6" s="38" t="s">
        <v>2</v>
      </c>
      <c r="IY6" s="38" t="s">
        <v>3</v>
      </c>
      <c r="IZ6" s="34" t="s">
        <v>4</v>
      </c>
      <c r="JA6" s="34" t="s">
        <v>5</v>
      </c>
      <c r="JB6" s="34" t="s">
        <v>53</v>
      </c>
      <c r="JC6" s="38" t="s">
        <v>2</v>
      </c>
      <c r="JD6" s="38" t="s">
        <v>3</v>
      </c>
      <c r="JE6" s="34" t="s">
        <v>4</v>
      </c>
      <c r="JF6" s="34" t="s">
        <v>5</v>
      </c>
      <c r="JG6" s="34" t="s">
        <v>53</v>
      </c>
      <c r="JH6" s="38" t="s">
        <v>2</v>
      </c>
      <c r="JI6" s="38" t="s">
        <v>3</v>
      </c>
      <c r="JJ6" s="34" t="s">
        <v>4</v>
      </c>
      <c r="JK6" s="34" t="s">
        <v>5</v>
      </c>
      <c r="JL6" s="34" t="s">
        <v>53</v>
      </c>
      <c r="JM6" s="38" t="s">
        <v>2</v>
      </c>
      <c r="JN6" s="38" t="s">
        <v>3</v>
      </c>
      <c r="JO6" s="34" t="s">
        <v>4</v>
      </c>
      <c r="JP6" s="34" t="s">
        <v>5</v>
      </c>
      <c r="JQ6" s="34" t="s">
        <v>53</v>
      </c>
      <c r="JR6" s="38" t="s">
        <v>2</v>
      </c>
      <c r="JS6" s="38" t="s">
        <v>3</v>
      </c>
      <c r="JT6" s="34" t="s">
        <v>4</v>
      </c>
      <c r="JU6" s="34" t="s">
        <v>5</v>
      </c>
      <c r="JV6" s="34" t="s">
        <v>53</v>
      </c>
      <c r="JW6" s="38" t="s">
        <v>2</v>
      </c>
      <c r="JX6" s="38" t="s">
        <v>3</v>
      </c>
      <c r="JY6" s="34" t="s">
        <v>4</v>
      </c>
      <c r="JZ6" s="34" t="s">
        <v>5</v>
      </c>
      <c r="KA6" s="34" t="s">
        <v>53</v>
      </c>
      <c r="KB6" s="38" t="s">
        <v>2</v>
      </c>
      <c r="KC6" s="38" t="s">
        <v>3</v>
      </c>
      <c r="KD6" s="34" t="s">
        <v>4</v>
      </c>
      <c r="KE6" s="34" t="s">
        <v>5</v>
      </c>
      <c r="KF6" s="34" t="s">
        <v>53</v>
      </c>
      <c r="KG6" s="38" t="s">
        <v>2</v>
      </c>
      <c r="KH6" s="38" t="s">
        <v>3</v>
      </c>
      <c r="KI6" s="34" t="s">
        <v>4</v>
      </c>
      <c r="KJ6" s="34" t="s">
        <v>5</v>
      </c>
      <c r="KK6" s="34" t="s">
        <v>53</v>
      </c>
      <c r="KL6" s="38" t="s">
        <v>2</v>
      </c>
      <c r="KM6" s="38" t="s">
        <v>3</v>
      </c>
      <c r="KN6" s="34" t="s">
        <v>4</v>
      </c>
      <c r="KO6" s="34" t="s">
        <v>5</v>
      </c>
      <c r="KP6" s="34" t="s">
        <v>53</v>
      </c>
      <c r="KQ6" s="38" t="s">
        <v>2</v>
      </c>
      <c r="KR6" s="38" t="s">
        <v>3</v>
      </c>
      <c r="KS6" s="34" t="s">
        <v>4</v>
      </c>
      <c r="KT6" s="34" t="s">
        <v>5</v>
      </c>
      <c r="KU6" s="34" t="s">
        <v>53</v>
      </c>
      <c r="KV6" s="38" t="s">
        <v>2</v>
      </c>
      <c r="KW6" s="38" t="s">
        <v>3</v>
      </c>
      <c r="KX6" s="34" t="s">
        <v>4</v>
      </c>
      <c r="KY6" s="34" t="s">
        <v>5</v>
      </c>
      <c r="KZ6" s="34" t="s">
        <v>53</v>
      </c>
      <c r="LA6" s="38" t="s">
        <v>2</v>
      </c>
      <c r="LB6" s="38" t="s">
        <v>3</v>
      </c>
      <c r="LC6" s="34" t="s">
        <v>4</v>
      </c>
      <c r="LD6" s="34" t="s">
        <v>5</v>
      </c>
      <c r="LE6" s="34" t="s">
        <v>53</v>
      </c>
      <c r="LF6" s="38" t="s">
        <v>2</v>
      </c>
      <c r="LG6" s="38" t="s">
        <v>3</v>
      </c>
      <c r="LH6" s="34" t="s">
        <v>4</v>
      </c>
      <c r="LI6" s="34" t="s">
        <v>5</v>
      </c>
      <c r="LJ6" s="34" t="s">
        <v>53</v>
      </c>
      <c r="LK6" s="38" t="s">
        <v>2</v>
      </c>
      <c r="LL6" s="38" t="s">
        <v>3</v>
      </c>
      <c r="LM6" s="34" t="s">
        <v>4</v>
      </c>
      <c r="LN6" s="34" t="s">
        <v>5</v>
      </c>
      <c r="LO6" s="34" t="s">
        <v>53</v>
      </c>
      <c r="LP6" s="38" t="s">
        <v>2</v>
      </c>
      <c r="LQ6" s="38" t="s">
        <v>3</v>
      </c>
      <c r="LR6" s="34" t="s">
        <v>4</v>
      </c>
      <c r="LS6" s="34" t="s">
        <v>5</v>
      </c>
      <c r="LT6" s="34" t="s">
        <v>53</v>
      </c>
      <c r="LU6" s="38" t="s">
        <v>2</v>
      </c>
      <c r="LV6" s="38" t="s">
        <v>3</v>
      </c>
      <c r="LW6" s="34" t="s">
        <v>4</v>
      </c>
      <c r="LX6" s="34" t="s">
        <v>5</v>
      </c>
      <c r="LY6" s="34" t="s">
        <v>53</v>
      </c>
      <c r="LZ6" s="38" t="s">
        <v>2</v>
      </c>
      <c r="MA6" s="38" t="s">
        <v>3</v>
      </c>
      <c r="MB6" s="34" t="s">
        <v>4</v>
      </c>
      <c r="MC6" s="34" t="s">
        <v>5</v>
      </c>
      <c r="MD6" s="34" t="s">
        <v>53</v>
      </c>
      <c r="ME6" s="38" t="s">
        <v>2</v>
      </c>
      <c r="MF6" s="38" t="s">
        <v>3</v>
      </c>
      <c r="MG6" s="34" t="s">
        <v>4</v>
      </c>
      <c r="MH6" s="34" t="s">
        <v>5</v>
      </c>
      <c r="MI6" s="34" t="s">
        <v>53</v>
      </c>
      <c r="MJ6" s="38" t="s">
        <v>2</v>
      </c>
      <c r="MK6" s="38" t="s">
        <v>3</v>
      </c>
      <c r="ML6" s="34" t="s">
        <v>4</v>
      </c>
      <c r="MM6" s="34" t="s">
        <v>5</v>
      </c>
      <c r="MN6" s="34" t="s">
        <v>53</v>
      </c>
      <c r="MO6" s="38" t="s">
        <v>2</v>
      </c>
      <c r="MP6" s="38" t="s">
        <v>3</v>
      </c>
      <c r="MQ6" s="34" t="s">
        <v>4</v>
      </c>
      <c r="MR6" s="34" t="s">
        <v>5</v>
      </c>
      <c r="MS6" s="34" t="s">
        <v>53</v>
      </c>
      <c r="MT6" s="38" t="s">
        <v>2</v>
      </c>
      <c r="MU6" s="38" t="s">
        <v>3</v>
      </c>
      <c r="MV6" s="34" t="s">
        <v>4</v>
      </c>
      <c r="MW6" s="34" t="s">
        <v>5</v>
      </c>
      <c r="MX6" s="34" t="s">
        <v>53</v>
      </c>
      <c r="MY6" s="38" t="s">
        <v>2</v>
      </c>
      <c r="MZ6" s="38" t="s">
        <v>3</v>
      </c>
      <c r="NA6" s="34" t="s">
        <v>4</v>
      </c>
      <c r="NB6" s="34" t="s">
        <v>5</v>
      </c>
      <c r="NC6" s="34" t="s">
        <v>53</v>
      </c>
      <c r="ND6" s="38" t="s">
        <v>2</v>
      </c>
      <c r="NE6" s="38" t="s">
        <v>3</v>
      </c>
      <c r="NF6" s="34" t="s">
        <v>4</v>
      </c>
      <c r="NG6" s="34" t="s">
        <v>5</v>
      </c>
      <c r="NH6" s="34" t="s">
        <v>53</v>
      </c>
      <c r="NI6" s="38" t="s">
        <v>2</v>
      </c>
      <c r="NJ6" s="38" t="s">
        <v>3</v>
      </c>
      <c r="NK6" s="34" t="s">
        <v>4</v>
      </c>
      <c r="NL6" s="34" t="s">
        <v>5</v>
      </c>
      <c r="NM6" s="49" t="s">
        <v>2</v>
      </c>
      <c r="NN6" s="49" t="s">
        <v>3</v>
      </c>
      <c r="NO6" s="49" t="s">
        <v>4</v>
      </c>
      <c r="NP6" s="49" t="s">
        <v>5</v>
      </c>
      <c r="NQ6" s="38" t="s">
        <v>2</v>
      </c>
      <c r="NR6" s="38" t="s">
        <v>3</v>
      </c>
      <c r="NS6" s="34" t="s">
        <v>4</v>
      </c>
      <c r="NT6" s="49" t="s">
        <v>5</v>
      </c>
      <c r="NU6" s="84"/>
    </row>
    <row r="7" spans="1:389" ht="31.5" customHeight="1" thickBot="1">
      <c r="A7" s="41"/>
      <c r="B7" s="35" t="s">
        <v>13</v>
      </c>
      <c r="C7" s="36">
        <f>G7-J7</f>
        <v>39096568</v>
      </c>
      <c r="D7" s="36">
        <v>1384986</v>
      </c>
      <c r="E7" s="36">
        <v>1292308</v>
      </c>
      <c r="F7" s="36">
        <v>92678</v>
      </c>
      <c r="G7" s="36">
        <f>L7-O7</f>
        <v>39294936</v>
      </c>
      <c r="H7" s="36">
        <v>1483832</v>
      </c>
      <c r="I7" s="36">
        <v>1285464</v>
      </c>
      <c r="J7" s="36">
        <v>198368</v>
      </c>
      <c r="K7" s="47">
        <f t="shared" ref="K7:K10" si="0">(J7/C7)*100</f>
        <v>0.5073795735728005</v>
      </c>
      <c r="L7" s="36">
        <f>Q7-T7</f>
        <v>39062620</v>
      </c>
      <c r="M7" s="36">
        <v>1347665</v>
      </c>
      <c r="N7" s="36">
        <v>1579981</v>
      </c>
      <c r="O7" s="36">
        <v>-232316</v>
      </c>
      <c r="P7" s="47">
        <f>(O7/G7)*100</f>
        <v>-0.59121104052695239</v>
      </c>
      <c r="Q7" s="36">
        <f>V7-Y7</f>
        <v>38160303</v>
      </c>
      <c r="R7" s="36">
        <v>617644</v>
      </c>
      <c r="S7" s="36">
        <v>1519961</v>
      </c>
      <c r="T7" s="36">
        <v>-902317</v>
      </c>
      <c r="U7" s="47">
        <f>(T7/L7)*100</f>
        <v>-2.3099244239121695</v>
      </c>
      <c r="V7" s="36">
        <f>AA7-AD7</f>
        <v>37807513</v>
      </c>
      <c r="W7" s="36">
        <v>716330</v>
      </c>
      <c r="X7" s="36">
        <v>1069120</v>
      </c>
      <c r="Y7" s="36">
        <v>-352790</v>
      </c>
      <c r="Z7" s="47">
        <f>(Y7/Q7)*100</f>
        <v>-0.92449475571512107</v>
      </c>
      <c r="AA7" s="36">
        <f>AF7-AI7</f>
        <v>37784402</v>
      </c>
      <c r="AB7" s="36">
        <v>910176</v>
      </c>
      <c r="AC7" s="36">
        <v>933287</v>
      </c>
      <c r="AD7" s="36">
        <v>-23111</v>
      </c>
      <c r="AE7" s="47">
        <f>(AD7/V7)*100</f>
        <v>-6.1128062033596331E-2</v>
      </c>
      <c r="AF7" s="36">
        <f>AK7-AN7</f>
        <v>37907699</v>
      </c>
      <c r="AG7" s="36">
        <v>1061898</v>
      </c>
      <c r="AH7" s="36">
        <v>938601</v>
      </c>
      <c r="AI7" s="36">
        <v>123297</v>
      </c>
      <c r="AJ7" s="47">
        <f>(AI7/AA7)*100</f>
        <v>0.32631719300466894</v>
      </c>
      <c r="AK7" s="36">
        <f>AP7-AS7</f>
        <v>38145824</v>
      </c>
      <c r="AL7" s="36">
        <v>1257362</v>
      </c>
      <c r="AM7" s="36">
        <v>1019237</v>
      </c>
      <c r="AN7" s="36">
        <v>238125</v>
      </c>
      <c r="AO7" s="47">
        <f>(AN7/AF7)*100</f>
        <v>0.62817054656891735</v>
      </c>
      <c r="AP7" s="36">
        <f>AU7-AX7</f>
        <v>38459388</v>
      </c>
      <c r="AQ7" s="36">
        <v>1406746</v>
      </c>
      <c r="AR7" s="36">
        <v>1093182</v>
      </c>
      <c r="AS7" s="36">
        <v>313564</v>
      </c>
      <c r="AT7" s="47">
        <f>(AS7/AK7)*100</f>
        <v>0.8220139640973545</v>
      </c>
      <c r="AU7" s="36">
        <f>AZ7-BC7</f>
        <v>38848326</v>
      </c>
      <c r="AV7" s="36">
        <v>1571402</v>
      </c>
      <c r="AW7" s="36">
        <v>1182464</v>
      </c>
      <c r="AX7" s="36">
        <v>388938</v>
      </c>
      <c r="AY7" s="47">
        <f>(AX7/AP7)*100</f>
        <v>1.0112953435452483</v>
      </c>
      <c r="AZ7" s="36">
        <f>BE7-BH7</f>
        <v>39257274</v>
      </c>
      <c r="BA7" s="36">
        <v>1552837</v>
      </c>
      <c r="BB7" s="36">
        <v>1143889</v>
      </c>
      <c r="BC7" s="36">
        <v>408948</v>
      </c>
      <c r="BD7" s="47">
        <f>(BC7/AU7)*100</f>
        <v>1.0526785632925342</v>
      </c>
      <c r="BE7" s="36">
        <f>BJ7-BM7</f>
        <v>39175156</v>
      </c>
      <c r="BF7" s="36">
        <v>1256247</v>
      </c>
      <c r="BG7" s="36">
        <v>1338365</v>
      </c>
      <c r="BH7" s="36">
        <v>-82118</v>
      </c>
      <c r="BI7" s="47">
        <f>(BH7/AZ7)*100</f>
        <v>-0.20917906831737731</v>
      </c>
      <c r="BJ7" s="36">
        <f>BO7-BR7</f>
        <v>39432215</v>
      </c>
      <c r="BK7" s="36">
        <v>1550075</v>
      </c>
      <c r="BL7" s="36">
        <v>1293016</v>
      </c>
      <c r="BM7" s="36">
        <v>257059</v>
      </c>
      <c r="BN7" s="47">
        <f>(BM7/BE7)*100</f>
        <v>0.65617862504491364</v>
      </c>
      <c r="BO7" s="36">
        <f>BT7-BW7</f>
        <v>39830130</v>
      </c>
      <c r="BP7" s="36">
        <v>1715425</v>
      </c>
      <c r="BQ7" s="36">
        <v>1317510</v>
      </c>
      <c r="BR7" s="36">
        <v>397915</v>
      </c>
      <c r="BS7" s="47">
        <f>(BR7/BJ7)*100</f>
        <v>1.0091114587400176</v>
      </c>
      <c r="BT7" s="36">
        <f>BY7-CB7</f>
        <v>40006460</v>
      </c>
      <c r="BU7" s="36">
        <v>1626885</v>
      </c>
      <c r="BV7" s="36">
        <v>1450555</v>
      </c>
      <c r="BW7" s="36">
        <v>176330</v>
      </c>
      <c r="BX7" s="47">
        <f>(BW7/BO7)*100</f>
        <v>0.44270505770380364</v>
      </c>
      <c r="BY7" s="36">
        <f>CD7-CG7</f>
        <v>40120382</v>
      </c>
      <c r="BZ7" s="36">
        <v>1396311</v>
      </c>
      <c r="CA7" s="36">
        <v>1282389</v>
      </c>
      <c r="CB7" s="36">
        <v>113922</v>
      </c>
      <c r="CC7" s="47">
        <f>(CB7/BT7)*100</f>
        <v>0.28475901141965571</v>
      </c>
      <c r="CD7" s="36">
        <f>CI7-CL7</f>
        <v>40399087</v>
      </c>
      <c r="CE7" s="36">
        <v>1558316</v>
      </c>
      <c r="CF7" s="36">
        <v>1279611</v>
      </c>
      <c r="CG7" s="36">
        <v>278705</v>
      </c>
      <c r="CH7" s="47">
        <f>(CG7/BY7)*100</f>
        <v>0.69467185033283085</v>
      </c>
      <c r="CI7" s="36">
        <f>CN7-CQ7</f>
        <v>40709123</v>
      </c>
      <c r="CJ7" s="36">
        <v>1609748</v>
      </c>
      <c r="CK7" s="36">
        <v>1299712</v>
      </c>
      <c r="CL7" s="36">
        <v>310036</v>
      </c>
      <c r="CM7" s="47">
        <f>(CL7/CD7)*100</f>
        <v>0.76743318481430045</v>
      </c>
      <c r="CN7" s="36">
        <f>CS7-CV7</f>
        <v>41025848</v>
      </c>
      <c r="CO7" s="36">
        <v>1666051</v>
      </c>
      <c r="CP7" s="36">
        <v>1349326</v>
      </c>
      <c r="CQ7" s="36">
        <v>316725</v>
      </c>
      <c r="CR7" s="47">
        <f>(CQ7/CI7)*100</f>
        <v>0.77801970826048006</v>
      </c>
      <c r="CS7" s="36">
        <f>CX7-DA7</f>
        <v>41399192</v>
      </c>
      <c r="CT7" s="36">
        <v>1819411</v>
      </c>
      <c r="CU7" s="36">
        <v>1446067</v>
      </c>
      <c r="CV7" s="36">
        <v>373344</v>
      </c>
      <c r="CW7" s="47">
        <f>(CV7/CN7)*100</f>
        <v>0.91002140894199179</v>
      </c>
      <c r="CX7" s="36">
        <f>DC7-DF7</f>
        <v>41716185</v>
      </c>
      <c r="CY7" s="36">
        <v>1789967</v>
      </c>
      <c r="CZ7" s="36">
        <v>1472974</v>
      </c>
      <c r="DA7" s="36">
        <v>316993</v>
      </c>
      <c r="DB7" s="47">
        <f>(DA7/CS7)*100</f>
        <v>0.76569851894693985</v>
      </c>
      <c r="DC7" s="36">
        <f>DH7-DK7</f>
        <v>41969268</v>
      </c>
      <c r="DD7" s="36">
        <v>1760739</v>
      </c>
      <c r="DE7" s="36">
        <v>1507656</v>
      </c>
      <c r="DF7" s="36">
        <v>253083</v>
      </c>
      <c r="DG7" s="47">
        <f>(DF7/CX7)*100</f>
        <v>0.60667819936075174</v>
      </c>
      <c r="DH7" s="36">
        <f>DM7-DP7</f>
        <v>42293380</v>
      </c>
      <c r="DI7" s="36">
        <v>1772766</v>
      </c>
      <c r="DJ7" s="36">
        <v>1448654</v>
      </c>
      <c r="DK7" s="36">
        <v>324112</v>
      </c>
      <c r="DL7" s="47">
        <f>(DK7/DC7)*100</f>
        <v>0.77226031199781708</v>
      </c>
      <c r="DM7" s="36">
        <f>DR7-DU7</f>
        <v>42027569</v>
      </c>
      <c r="DN7" s="36">
        <v>1437910</v>
      </c>
      <c r="DO7" s="36">
        <v>1703721</v>
      </c>
      <c r="DP7" s="36">
        <v>-265811</v>
      </c>
      <c r="DQ7" s="47">
        <f>(DP7/DH7)*100</f>
        <v>-0.62849315897665303</v>
      </c>
      <c r="DR7" s="36">
        <f>DW7-DZ7</f>
        <v>42182747</v>
      </c>
      <c r="DS7" s="36">
        <v>1777646</v>
      </c>
      <c r="DT7" s="36">
        <v>1622468</v>
      </c>
      <c r="DU7" s="36">
        <v>155178</v>
      </c>
      <c r="DV7" s="47">
        <f>(DU7/DM7)*100</f>
        <v>0.3692290648550241</v>
      </c>
      <c r="DW7" s="36">
        <f>EB7-EE7</f>
        <v>42511254</v>
      </c>
      <c r="DX7" s="36">
        <v>2013143</v>
      </c>
      <c r="DY7" s="36">
        <v>1684636</v>
      </c>
      <c r="DZ7" s="36">
        <v>328507</v>
      </c>
      <c r="EA7" s="47">
        <f>(DZ7/DR7)*100</f>
        <v>0.77877099848428555</v>
      </c>
      <c r="EB7" s="36">
        <f>EG7-EJ7</f>
        <v>42647443</v>
      </c>
      <c r="EC7" s="36">
        <v>1953071</v>
      </c>
      <c r="ED7" s="36">
        <v>1816882</v>
      </c>
      <c r="EE7" s="36">
        <v>136189</v>
      </c>
      <c r="EF7" s="47">
        <f>(EE7/DW7)*100</f>
        <v>0.32035987458756215</v>
      </c>
      <c r="EG7" s="36">
        <f>EL7-EO7</f>
        <v>42844409</v>
      </c>
      <c r="EH7" s="36">
        <v>1854557</v>
      </c>
      <c r="EI7" s="36">
        <v>1657591</v>
      </c>
      <c r="EJ7" s="36">
        <v>196966</v>
      </c>
      <c r="EK7" s="47">
        <f>(EJ7/EB7)*100</f>
        <v>0.46184714989829523</v>
      </c>
      <c r="EL7" s="36">
        <f>EQ7-ET7</f>
        <v>43121427</v>
      </c>
      <c r="EM7" s="36">
        <v>1960960</v>
      </c>
      <c r="EN7" s="36">
        <v>1683942</v>
      </c>
      <c r="EO7" s="36">
        <v>277018</v>
      </c>
      <c r="EP7" s="47">
        <f>(EO7/EG7)*100</f>
        <v>0.64656744360740281</v>
      </c>
      <c r="EQ7" s="36">
        <f>EV7-EY7</f>
        <v>43399371</v>
      </c>
      <c r="ER7" s="36">
        <v>1898876</v>
      </c>
      <c r="ES7" s="36">
        <v>1620932</v>
      </c>
      <c r="ET7" s="36">
        <v>277944</v>
      </c>
      <c r="EU7" s="47">
        <f>(ET7/EL7)*100</f>
        <v>0.64456122938603122</v>
      </c>
      <c r="EV7" s="36">
        <f>FA7-FD7</f>
        <v>43618273</v>
      </c>
      <c r="EW7" s="36">
        <v>1886537</v>
      </c>
      <c r="EX7" s="36">
        <v>1667635</v>
      </c>
      <c r="EY7" s="36">
        <v>218902</v>
      </c>
      <c r="EZ7" s="47">
        <f>(EY7/EQ7)*100</f>
        <v>0.50438979864477762</v>
      </c>
      <c r="FA7" s="36">
        <f>FF7-FI7</f>
        <v>43896912</v>
      </c>
      <c r="FB7" s="36">
        <v>2051800</v>
      </c>
      <c r="FC7" s="36">
        <v>1773161</v>
      </c>
      <c r="FD7" s="36">
        <v>278639</v>
      </c>
      <c r="FE7" s="47">
        <f t="shared" ref="FE7:FE10" si="1">(FD7/EV7)*100</f>
        <v>0.63881254537519172</v>
      </c>
      <c r="FF7" s="36">
        <f>FK7-FN7</f>
        <v>44174997</v>
      </c>
      <c r="FG7" s="36">
        <v>1926572</v>
      </c>
      <c r="FH7" s="36">
        <v>1648487</v>
      </c>
      <c r="FI7" s="36">
        <v>278085</v>
      </c>
      <c r="FJ7" s="47">
        <f t="shared" ref="FJ7:FJ10" si="2">(FI7/FA7)*100</f>
        <v>0.63349558620433255</v>
      </c>
      <c r="FK7" s="36">
        <f>FP7-FS7</f>
        <v>44334451</v>
      </c>
      <c r="FL7" s="36">
        <v>1789462</v>
      </c>
      <c r="FM7" s="36">
        <v>1630008</v>
      </c>
      <c r="FN7" s="36">
        <v>159454</v>
      </c>
      <c r="FO7" s="47">
        <f t="shared" ref="FO7:FO10" si="3">(FN7/FF7)*100</f>
        <v>0.36095984341549586</v>
      </c>
      <c r="FP7" s="36">
        <f>FU7-FX7</f>
        <v>44469946</v>
      </c>
      <c r="FQ7" s="36">
        <v>1747894</v>
      </c>
      <c r="FR7" s="36">
        <v>1612399</v>
      </c>
      <c r="FS7" s="36">
        <v>135495</v>
      </c>
      <c r="FT7" s="47">
        <f t="shared" ref="FT7:FT10" si="4">(FS7/FK7)*100</f>
        <v>0.30562011470492778</v>
      </c>
      <c r="FU7" s="36">
        <f>FZ7-GC7</f>
        <v>44038935</v>
      </c>
      <c r="FV7" s="36">
        <v>1382923</v>
      </c>
      <c r="FW7" s="36">
        <v>1813934</v>
      </c>
      <c r="FX7" s="36">
        <v>-431011</v>
      </c>
      <c r="FY7" s="47">
        <f t="shared" ref="FY7:FY10" si="5">(FX7/FP7)*100</f>
        <v>-0.9692186268901698</v>
      </c>
      <c r="FZ7" s="36">
        <f>GE7-GH7</f>
        <v>44122232</v>
      </c>
      <c r="GA7" s="36">
        <v>1874226</v>
      </c>
      <c r="GB7" s="36">
        <v>1790929</v>
      </c>
      <c r="GC7" s="36">
        <v>83297</v>
      </c>
      <c r="GD7" s="47">
        <f t="shared" ref="GD7:GD10" si="6">(GC7/FU7)*100</f>
        <v>0.18914399269646281</v>
      </c>
      <c r="GE7" s="36">
        <f>GJ7-GM7</f>
        <v>44364017</v>
      </c>
      <c r="GF7" s="36">
        <v>1949844</v>
      </c>
      <c r="GG7" s="36">
        <v>1708059</v>
      </c>
      <c r="GH7" s="36">
        <v>241785</v>
      </c>
      <c r="GI7" s="47">
        <f t="shared" ref="GI7:GI10" si="7">(GH7/FZ7)*100</f>
        <v>0.54798905005530996</v>
      </c>
      <c r="GJ7" s="36">
        <f>GO7-GR7</f>
        <v>44559188</v>
      </c>
      <c r="GK7" s="36">
        <v>2168418</v>
      </c>
      <c r="GL7" s="36">
        <v>1973247</v>
      </c>
      <c r="GM7" s="36">
        <v>195171</v>
      </c>
      <c r="GN7" s="47">
        <f t="shared" ref="GN7:GN10" si="8">(GM7/GE7)*100</f>
        <v>0.43993085657685149</v>
      </c>
      <c r="GO7" s="36">
        <f>GT7-GW7</f>
        <v>44739193</v>
      </c>
      <c r="GP7" s="36">
        <v>1865279</v>
      </c>
      <c r="GQ7" s="36">
        <v>1685274</v>
      </c>
      <c r="GR7" s="36">
        <v>180005</v>
      </c>
      <c r="GS7" s="47">
        <f>(GR7/GJ7)*100</f>
        <v>0.40396831288756874</v>
      </c>
      <c r="GT7" s="36">
        <f>GY7-HB7</f>
        <v>44894463</v>
      </c>
      <c r="GU7" s="36">
        <v>2000202</v>
      </c>
      <c r="GV7" s="36">
        <v>1844932</v>
      </c>
      <c r="GW7" s="36">
        <v>155270</v>
      </c>
      <c r="GX7" s="47">
        <f>(GW7/GO7)*100</f>
        <v>0.34705588006471194</v>
      </c>
      <c r="GY7" s="36">
        <f>HD7-HG7</f>
        <v>45051661</v>
      </c>
      <c r="GZ7" s="36">
        <v>1914130</v>
      </c>
      <c r="HA7" s="36">
        <v>1756932</v>
      </c>
      <c r="HB7" s="36">
        <v>157198</v>
      </c>
      <c r="HC7" s="47">
        <f>(HB7/GT7)*100</f>
        <v>0.35015008420971649</v>
      </c>
      <c r="HD7" s="36">
        <f>HI7-HL7</f>
        <v>45194363</v>
      </c>
      <c r="HE7" s="36">
        <v>1883198</v>
      </c>
      <c r="HF7" s="36">
        <v>1740496</v>
      </c>
      <c r="HG7" s="36">
        <v>142702</v>
      </c>
      <c r="HH7" s="47">
        <f>(HG7/GY7)*100</f>
        <v>0.31675191731554581</v>
      </c>
      <c r="HI7" s="36">
        <f>HN7-HQ7</f>
        <v>45415207</v>
      </c>
      <c r="HJ7" s="36">
        <v>2099211</v>
      </c>
      <c r="HK7" s="36">
        <v>1878367</v>
      </c>
      <c r="HL7" s="36">
        <v>220844</v>
      </c>
      <c r="HM7" s="47">
        <f>(HL7/HD7)*100</f>
        <v>0.48865386154463553</v>
      </c>
      <c r="HN7" s="36">
        <f>HS7-HV7</f>
        <v>45626971</v>
      </c>
      <c r="HO7" s="36">
        <v>1917057</v>
      </c>
      <c r="HP7" s="36">
        <v>1705293</v>
      </c>
      <c r="HQ7" s="36">
        <v>211764</v>
      </c>
      <c r="HR7" s="47">
        <f>(HQ7/HI7)*100</f>
        <v>0.46628434392030843</v>
      </c>
      <c r="HS7" s="36">
        <f>HX7-IA7</f>
        <v>45817337</v>
      </c>
      <c r="HT7" s="36">
        <v>1941281</v>
      </c>
      <c r="HU7" s="36">
        <v>1750915</v>
      </c>
      <c r="HV7" s="36">
        <v>190366</v>
      </c>
      <c r="HW7" s="47">
        <f>(HV7/HN7)*100</f>
        <v>0.41722252393217157</v>
      </c>
      <c r="HX7" s="36">
        <f>IC7-IF7</f>
        <v>45947434</v>
      </c>
      <c r="HY7" s="36">
        <v>1866752</v>
      </c>
      <c r="HZ7" s="36">
        <v>1736655</v>
      </c>
      <c r="IA7" s="36">
        <v>130097</v>
      </c>
      <c r="IB7" s="47">
        <f>(IA7/HS7)*100</f>
        <v>0.28394710063572659</v>
      </c>
      <c r="IC7" s="36">
        <v>45517275</v>
      </c>
      <c r="ID7" s="36">
        <v>1502563</v>
      </c>
      <c r="IE7" s="36">
        <v>1932722</v>
      </c>
      <c r="IF7" s="36">
        <v>-430159</v>
      </c>
      <c r="IG7" s="47">
        <f>(IF7/HX7)*100</f>
        <v>-0.9361980910620602</v>
      </c>
      <c r="IH7" s="36">
        <f>SUM(IC7+IK7)</f>
        <v>45697670</v>
      </c>
      <c r="II7" s="36">
        <v>2067817</v>
      </c>
      <c r="IJ7" s="36">
        <v>1887422</v>
      </c>
      <c r="IK7" s="36">
        <v>180395</v>
      </c>
      <c r="IL7" s="47">
        <f>IK7/(IH7-IK7)*100</f>
        <v>0.39632205574696644</v>
      </c>
      <c r="IM7" s="36">
        <f>SUM(IH7+IP7)</f>
        <v>46003781</v>
      </c>
      <c r="IN7" s="36">
        <v>2249070</v>
      </c>
      <c r="IO7" s="36">
        <v>1942959</v>
      </c>
      <c r="IP7" s="36">
        <v>306111</v>
      </c>
      <c r="IQ7" s="47">
        <f>IP7/(IM7-IP7)*100</f>
        <v>0.66986128614434826</v>
      </c>
      <c r="IR7" s="36">
        <f>SUM(IM7+IU7)</f>
        <v>46248096</v>
      </c>
      <c r="IS7" s="36">
        <v>2262420</v>
      </c>
      <c r="IT7" s="36">
        <v>2018105</v>
      </c>
      <c r="IU7" s="36">
        <v>244315</v>
      </c>
      <c r="IV7" s="47">
        <f>IU7/(IR7-IU7)*100</f>
        <v>0.53107591308636137</v>
      </c>
      <c r="IW7" s="36">
        <f>SUM(IR7+IZ7)</f>
        <v>46488129</v>
      </c>
      <c r="IX7" s="36">
        <v>2260439</v>
      </c>
      <c r="IY7" s="36">
        <v>2020406</v>
      </c>
      <c r="IZ7" s="36">
        <v>240033</v>
      </c>
      <c r="JA7" s="47">
        <f>(IZ7/IR7)*100</f>
        <v>0.5190116367168931</v>
      </c>
      <c r="JB7" s="36">
        <f>SUM(IW7+JE7)</f>
        <v>46619940</v>
      </c>
      <c r="JC7" s="36">
        <v>2116326</v>
      </c>
      <c r="JD7" s="36">
        <v>1984515</v>
      </c>
      <c r="JE7" s="36">
        <v>131811</v>
      </c>
      <c r="JF7" s="47">
        <f>(JE7/IW7)*100</f>
        <v>0.2835369003557876</v>
      </c>
      <c r="JG7" s="36">
        <f>SUM(JB7+JJ7)</f>
        <v>46821645</v>
      </c>
      <c r="JH7" s="36">
        <v>2071649</v>
      </c>
      <c r="JI7" s="36">
        <v>1869944</v>
      </c>
      <c r="JJ7" s="36">
        <v>201705</v>
      </c>
      <c r="JK7" s="47">
        <f>(JJ7/JB7)*100</f>
        <v>0.43265821448933656</v>
      </c>
      <c r="JL7" s="36">
        <f>SUM(JG7+JO7)</f>
        <v>47009666</v>
      </c>
      <c r="JM7" s="36">
        <v>2187633</v>
      </c>
      <c r="JN7" s="36">
        <v>1999612</v>
      </c>
      <c r="JO7" s="36">
        <v>188021</v>
      </c>
      <c r="JP7" s="47">
        <f>(JO7/JG7)*100</f>
        <v>0.40156854805080006</v>
      </c>
      <c r="JQ7" s="36">
        <f>JL7+JT7</f>
        <v>47242179</v>
      </c>
      <c r="JR7" s="36">
        <v>2231410</v>
      </c>
      <c r="JS7" s="36">
        <v>1998897</v>
      </c>
      <c r="JT7" s="36">
        <v>232513</v>
      </c>
      <c r="JU7" s="47">
        <f>(JT7/JL7)*100</f>
        <v>0.49460679001633406</v>
      </c>
      <c r="JV7" s="36">
        <f>JQ7+JY7</f>
        <v>47489997</v>
      </c>
      <c r="JW7" s="36">
        <v>2163929</v>
      </c>
      <c r="JX7" s="36">
        <v>1916111</v>
      </c>
      <c r="JY7" s="36">
        <v>247818</v>
      </c>
      <c r="JZ7" s="47">
        <f>(JY7/JQ7)*100</f>
        <v>0.52456936840275725</v>
      </c>
      <c r="KA7" s="36">
        <f>JV7+KD7</f>
        <v>47622711</v>
      </c>
      <c r="KB7" s="36">
        <v>2222962</v>
      </c>
      <c r="KC7" s="36">
        <v>2090248</v>
      </c>
      <c r="KD7" s="36">
        <v>132714</v>
      </c>
      <c r="KE7" s="47">
        <f>(KD7/JV7)*100</f>
        <v>0.27945674538577042</v>
      </c>
      <c r="KF7" s="36">
        <f>KA7+KI7</f>
        <v>47729336</v>
      </c>
      <c r="KG7" s="36">
        <v>1978371</v>
      </c>
      <c r="KH7" s="36">
        <v>1871746</v>
      </c>
      <c r="KI7" s="36">
        <v>106625</v>
      </c>
      <c r="KJ7" s="47">
        <f>(KI7/KA7)*100</f>
        <v>0.22389527551255956</v>
      </c>
      <c r="KK7" s="36">
        <f>KF7+KN7</f>
        <v>47193789</v>
      </c>
      <c r="KL7" s="36">
        <v>1524251</v>
      </c>
      <c r="KM7" s="36">
        <v>2059798</v>
      </c>
      <c r="KN7" s="36">
        <v>-535547</v>
      </c>
      <c r="KO7" s="47">
        <f>(KN7/KF7)*100</f>
        <v>-1.122049969435988</v>
      </c>
      <c r="KP7" s="36">
        <f>KK7+KS7</f>
        <v>47331092</v>
      </c>
      <c r="KQ7" s="36">
        <v>2271611</v>
      </c>
      <c r="KR7" s="36">
        <v>2134308</v>
      </c>
      <c r="KS7" s="36">
        <v>137303</v>
      </c>
      <c r="KT7" s="47">
        <f>(KS7/KK7)*100</f>
        <v>0.29093447021174756</v>
      </c>
      <c r="KU7" s="36">
        <f>KP7+KX7</f>
        <v>47763087</v>
      </c>
      <c r="KV7" s="36">
        <v>2579192</v>
      </c>
      <c r="KW7" s="36">
        <v>2147197</v>
      </c>
      <c r="KX7" s="36">
        <v>431995</v>
      </c>
      <c r="KY7" s="47">
        <f>(KX7/KP7)*100</f>
        <v>0.91270871164350065</v>
      </c>
      <c r="KZ7" s="36">
        <f>KU7+LC7</f>
        <v>47834663</v>
      </c>
      <c r="LA7" s="36">
        <v>2234662</v>
      </c>
      <c r="LB7" s="36">
        <v>2163086</v>
      </c>
      <c r="LC7" s="36">
        <v>71576</v>
      </c>
      <c r="LD7" s="47">
        <f>(LC7/KU7)*100</f>
        <v>0.14985631058562024</v>
      </c>
      <c r="LE7" s="36">
        <f>KZ7+LH7</f>
        <v>48092191</v>
      </c>
      <c r="LF7" s="36">
        <v>2282187</v>
      </c>
      <c r="LG7" s="36">
        <v>2024659</v>
      </c>
      <c r="LH7" s="36">
        <v>257528</v>
      </c>
      <c r="LI7" s="47">
        <f>(LH7/KZ7)*100</f>
        <v>0.53837109712678433</v>
      </c>
      <c r="LJ7" s="36">
        <f>LE7+LM7</f>
        <v>48241183</v>
      </c>
      <c r="LK7" s="36">
        <v>2256225</v>
      </c>
      <c r="LL7" s="36">
        <v>2107233</v>
      </c>
      <c r="LM7" s="36">
        <v>148992</v>
      </c>
      <c r="LN7" s="47">
        <f>(LM7/LE7)*100</f>
        <v>0.30980497436683641</v>
      </c>
      <c r="LO7" s="36">
        <f>LJ7+LR7</f>
        <v>48407804</v>
      </c>
      <c r="LP7" s="36">
        <v>2139182</v>
      </c>
      <c r="LQ7" s="36">
        <v>1972561</v>
      </c>
      <c r="LR7" s="36">
        <v>166621</v>
      </c>
      <c r="LS7" s="47">
        <f>(LR7/LJ7)*100</f>
        <v>0.34539161280518349</v>
      </c>
      <c r="LT7" s="36">
        <f>LO7+LW7</f>
        <v>48537579</v>
      </c>
      <c r="LU7" s="36">
        <v>2251440</v>
      </c>
      <c r="LV7" s="36">
        <v>2121665</v>
      </c>
      <c r="LW7" s="36">
        <v>129775</v>
      </c>
      <c r="LX7" s="47">
        <f>(LW7/LO7)*100</f>
        <v>0.26808693903982922</v>
      </c>
      <c r="LY7" s="36">
        <f>LT7+MB7</f>
        <v>48684937</v>
      </c>
      <c r="LZ7" s="36">
        <v>2239895</v>
      </c>
      <c r="MA7" s="36">
        <v>2092537</v>
      </c>
      <c r="MB7" s="36">
        <v>147358</v>
      </c>
      <c r="MC7" s="47">
        <f>(MB7/LT7)*100</f>
        <v>0.30359569437940032</v>
      </c>
      <c r="MD7" s="36">
        <f>LY7+MG7</f>
        <v>48897939</v>
      </c>
      <c r="ME7" s="36">
        <v>2292492</v>
      </c>
      <c r="MF7" s="36">
        <v>2079490</v>
      </c>
      <c r="MG7" s="36">
        <v>213002</v>
      </c>
      <c r="MH7" s="47">
        <f>(MG7/LY7)*100</f>
        <v>0.43751109301014401</v>
      </c>
      <c r="MI7" s="36">
        <f>MD7+ML7</f>
        <v>48983086</v>
      </c>
      <c r="MJ7" s="36">
        <v>2271460</v>
      </c>
      <c r="MK7" s="36">
        <v>2186313</v>
      </c>
      <c r="ML7" s="36">
        <v>85147</v>
      </c>
      <c r="MM7" s="47">
        <f t="shared" ref="MM7:MM10" si="9">(ML7/MD7)*100</f>
        <v>0.17413208356286755</v>
      </c>
      <c r="MN7" s="36">
        <f t="shared" ref="MN7:MN10" si="10">MI7+MQ7</f>
        <v>49068950</v>
      </c>
      <c r="MO7" s="36">
        <v>1979902</v>
      </c>
      <c r="MP7" s="36">
        <v>1894038</v>
      </c>
      <c r="MQ7" s="36">
        <v>85864</v>
      </c>
      <c r="MR7" s="47">
        <f t="shared" ref="MR7:MR10" si="11">(MQ7/MI7)*100</f>
        <v>0.17529316139861012</v>
      </c>
      <c r="MS7" s="36">
        <f t="shared" ref="MS7:MS10" si="12">MN7+MV7</f>
        <v>48450786</v>
      </c>
      <c r="MT7" s="36">
        <v>1523309</v>
      </c>
      <c r="MU7" s="36">
        <v>2141473</v>
      </c>
      <c r="MV7" s="36">
        <v>-618164</v>
      </c>
      <c r="MW7" s="47">
        <f t="shared" ref="MW7:MW10" si="13">(MV7/MN7)*100</f>
        <v>-1.2597864841208137</v>
      </c>
      <c r="MX7" s="36">
        <f>MS7+NA7</f>
        <v>48563120</v>
      </c>
      <c r="MY7" s="36">
        <v>2208030</v>
      </c>
      <c r="MZ7" s="36">
        <v>2095696</v>
      </c>
      <c r="NA7" s="36">
        <v>112334</v>
      </c>
      <c r="NB7" s="109">
        <v>0.23178067799999999</v>
      </c>
      <c r="NC7" s="36">
        <f>MX7+NF7</f>
        <v>48818441</v>
      </c>
      <c r="ND7" s="36">
        <v>2381767</v>
      </c>
      <c r="NE7" s="36">
        <v>2126446</v>
      </c>
      <c r="NF7" s="36">
        <v>255321</v>
      </c>
      <c r="NG7" s="109">
        <f t="shared" ref="NG7:NG10" si="14">(NF7/NC7)*100</f>
        <v>0.52300113393625169</v>
      </c>
      <c r="NH7" s="36">
        <f>NC7+NK7</f>
        <v>49046649</v>
      </c>
      <c r="NI7" s="36">
        <v>2526660</v>
      </c>
      <c r="NJ7" s="36">
        <v>2298452</v>
      </c>
      <c r="NK7" s="36">
        <v>228208</v>
      </c>
      <c r="NL7" s="109">
        <f t="shared" ref="NL7:NL10" si="15">(NK7/NH7)*100</f>
        <v>0.46528764890747176</v>
      </c>
      <c r="NM7" s="36">
        <f>SUM(ND7,MY7,NI7)</f>
        <v>7116457</v>
      </c>
      <c r="NN7" s="36">
        <f t="shared" ref="NN7:NO10" si="16">SUM(NE7,MZ7,NJ7)</f>
        <v>6520594</v>
      </c>
      <c r="NO7" s="36">
        <f t="shared" si="16"/>
        <v>595863</v>
      </c>
      <c r="NP7" s="109">
        <f>(NO7/MS7)*100</f>
        <v>1.2298314417437934</v>
      </c>
      <c r="NQ7" s="36">
        <f>SUM(MO7,MJ7,ME7,LZ7,LU7,LP7,LK7,LF7,MT7,MY7,ND7,NI7)</f>
        <v>26352549</v>
      </c>
      <c r="NR7" s="36">
        <f t="shared" ref="NR7:NS10" si="17">SUM(MP7,MK7,MF7,MA7,LV7,LQ7,LL7,LG7,MU7,MZ7,NE7,NJ7)</f>
        <v>25140563</v>
      </c>
      <c r="NS7" s="36">
        <f t="shared" si="17"/>
        <v>1211986</v>
      </c>
      <c r="NT7" s="109">
        <f>NS7/(NH7-NS7)*100</f>
        <v>2.533698209601686</v>
      </c>
      <c r="NU7" s="41"/>
    </row>
    <row r="8" spans="1:389" ht="31.5" customHeight="1" thickTop="1">
      <c r="A8" s="41"/>
      <c r="B8" s="85" t="s">
        <v>14</v>
      </c>
      <c r="C8" s="86">
        <f t="shared" ref="C8:C10" si="18">G8-J8</f>
        <v>1837085</v>
      </c>
      <c r="D8" s="86">
        <v>56017</v>
      </c>
      <c r="E8" s="86">
        <v>54073</v>
      </c>
      <c r="F8" s="86">
        <v>1944</v>
      </c>
      <c r="G8" s="86">
        <f t="shared" ref="G8:G10" si="19">L8-O8</f>
        <v>1846822</v>
      </c>
      <c r="H8" s="86">
        <v>59651</v>
      </c>
      <c r="I8" s="86">
        <v>49914</v>
      </c>
      <c r="J8" s="86">
        <v>9737</v>
      </c>
      <c r="K8" s="87">
        <f t="shared" si="0"/>
        <v>0.53002446811116521</v>
      </c>
      <c r="L8" s="86">
        <f t="shared" ref="L8:L10" si="20">Q8-T8</f>
        <v>1841957</v>
      </c>
      <c r="M8" s="86">
        <v>53242</v>
      </c>
      <c r="N8" s="86">
        <v>58107</v>
      </c>
      <c r="O8" s="86">
        <v>-4865</v>
      </c>
      <c r="P8" s="87">
        <f>(O8/G8)*100</f>
        <v>-0.2634254952561752</v>
      </c>
      <c r="Q8" s="86">
        <f t="shared" ref="Q8:Q10" si="21">V8-Y8</f>
        <v>1813147</v>
      </c>
      <c r="R8" s="86">
        <v>27055</v>
      </c>
      <c r="S8" s="86">
        <v>55865</v>
      </c>
      <c r="T8" s="86">
        <v>-28810</v>
      </c>
      <c r="U8" s="87">
        <f>(T8/L8)*100</f>
        <v>-1.5640973160611242</v>
      </c>
      <c r="V8" s="86">
        <f t="shared" ref="V8:V10" si="22">AA8-AD8</f>
        <v>1802277</v>
      </c>
      <c r="W8" s="86">
        <v>32286</v>
      </c>
      <c r="X8" s="86">
        <v>43156</v>
      </c>
      <c r="Y8" s="86">
        <v>-10870</v>
      </c>
      <c r="Z8" s="87">
        <f>(Y8/Q8)*100</f>
        <v>-0.59951013348614313</v>
      </c>
      <c r="AA8" s="86">
        <f t="shared" ref="AA8:AA10" si="23">AF8-AI8</f>
        <v>1808531</v>
      </c>
      <c r="AB8" s="86">
        <v>44699</v>
      </c>
      <c r="AC8" s="86">
        <v>38445</v>
      </c>
      <c r="AD8" s="86">
        <v>6254</v>
      </c>
      <c r="AE8" s="87">
        <f>(AD8/V8)*100</f>
        <v>0.34700548250907048</v>
      </c>
      <c r="AF8" s="86">
        <f t="shared" ref="AF8:AF10" si="24">AK8-AN8</f>
        <v>1824163</v>
      </c>
      <c r="AG8" s="86">
        <v>58003</v>
      </c>
      <c r="AH8" s="86">
        <v>42371</v>
      </c>
      <c r="AI8" s="86">
        <v>15632</v>
      </c>
      <c r="AJ8" s="87">
        <f>(AI8/AA8)*100</f>
        <v>0.86434791551817469</v>
      </c>
      <c r="AK8" s="86">
        <f t="shared" ref="AK8:AK10" si="25">AP8-AS8</f>
        <v>1846859</v>
      </c>
      <c r="AL8" s="86">
        <v>64966</v>
      </c>
      <c r="AM8" s="86">
        <v>42270</v>
      </c>
      <c r="AN8" s="86">
        <v>22696</v>
      </c>
      <c r="AO8" s="87">
        <f>(AN8/AF8)*100</f>
        <v>1.2441870600379463</v>
      </c>
      <c r="AP8" s="86">
        <f t="shared" ref="AP8:AP10" si="26">AU8-AX8</f>
        <v>1868039</v>
      </c>
      <c r="AQ8" s="86">
        <v>67814</v>
      </c>
      <c r="AR8" s="86">
        <v>46634</v>
      </c>
      <c r="AS8" s="86">
        <v>21180</v>
      </c>
      <c r="AT8" s="87">
        <f>(AS8/AK8)*100</f>
        <v>1.1468119656129678</v>
      </c>
      <c r="AU8" s="86">
        <f t="shared" ref="AU8:AU10" si="27">AZ8-BC8</f>
        <v>1889059</v>
      </c>
      <c r="AV8" s="86">
        <v>70506</v>
      </c>
      <c r="AW8" s="86">
        <v>49486</v>
      </c>
      <c r="AX8" s="86">
        <v>21020</v>
      </c>
      <c r="AY8" s="87">
        <f>(AX8/AP8)*100</f>
        <v>1.1252441731676908</v>
      </c>
      <c r="AZ8" s="86">
        <f t="shared" ref="AZ8:AZ10" si="28">BE8-BH8</f>
        <v>1905227</v>
      </c>
      <c r="BA8" s="86">
        <v>65407</v>
      </c>
      <c r="BB8" s="86">
        <v>49239</v>
      </c>
      <c r="BC8" s="86">
        <v>16168</v>
      </c>
      <c r="BD8" s="87">
        <f>(BC8/AU8)*100</f>
        <v>0.85587586200325128</v>
      </c>
      <c r="BE8" s="86">
        <f t="shared" ref="BE8:BE10" si="29">BJ8-BM8</f>
        <v>1899082</v>
      </c>
      <c r="BF8" s="86">
        <v>50797</v>
      </c>
      <c r="BG8" s="86">
        <v>56942</v>
      </c>
      <c r="BH8" s="86">
        <v>-6145</v>
      </c>
      <c r="BI8" s="87">
        <f>(BH8/AZ8)*100</f>
        <v>-0.32253374532273582</v>
      </c>
      <c r="BJ8" s="86">
        <f t="shared" ref="BJ8:BJ10" si="30">BO8-BR8</f>
        <v>1906417</v>
      </c>
      <c r="BK8" s="86">
        <v>62642</v>
      </c>
      <c r="BL8" s="86">
        <v>55307</v>
      </c>
      <c r="BM8" s="86">
        <v>7335</v>
      </c>
      <c r="BN8" s="87">
        <f t="shared" ref="BN8:BN10" si="31">(BM8/BE8)*100</f>
        <v>0.38623924611996746</v>
      </c>
      <c r="BO8" s="86">
        <f t="shared" ref="BO8:BO10" si="32">BT8-BW8</f>
        <v>1919373</v>
      </c>
      <c r="BP8" s="86">
        <v>65972</v>
      </c>
      <c r="BQ8" s="86">
        <v>53016</v>
      </c>
      <c r="BR8" s="86">
        <v>12956</v>
      </c>
      <c r="BS8" s="87">
        <f t="shared" ref="BS8:BS10" si="33">(BR8/BJ8)*100</f>
        <v>0.67959947902269013</v>
      </c>
      <c r="BT8" s="86">
        <f t="shared" ref="BT8:BT10" si="34">BY8-CB8</f>
        <v>1928470</v>
      </c>
      <c r="BU8" s="86">
        <v>68391</v>
      </c>
      <c r="BV8" s="86">
        <v>59294</v>
      </c>
      <c r="BW8" s="86">
        <v>9097</v>
      </c>
      <c r="BX8" s="87">
        <f t="shared" ref="BX8:BX10" si="35">(BW8/BO8)*100</f>
        <v>0.47395685987038472</v>
      </c>
      <c r="BY8" s="86">
        <f t="shared" ref="BY8:BY10" si="36">CD8-CG8</f>
        <v>1937699</v>
      </c>
      <c r="BZ8" s="86">
        <v>62781</v>
      </c>
      <c r="CA8" s="86">
        <v>53552</v>
      </c>
      <c r="CB8" s="86">
        <v>9229</v>
      </c>
      <c r="CC8" s="87">
        <f t="shared" ref="CC8:CC10" si="37">(CB8/BT8)*100</f>
        <v>0.47856590976266161</v>
      </c>
      <c r="CD8" s="86">
        <f t="shared" ref="CD8:CD10" si="38">CI8-CL8</f>
        <v>1956114</v>
      </c>
      <c r="CE8" s="86">
        <v>74958</v>
      </c>
      <c r="CF8" s="86">
        <v>56543</v>
      </c>
      <c r="CG8" s="86">
        <v>18415</v>
      </c>
      <c r="CH8" s="87">
        <f t="shared" ref="CH8:CH10" si="39">(CG8/BY8)*100</f>
        <v>0.95035400235021028</v>
      </c>
      <c r="CI8" s="86">
        <f t="shared" ref="CI8:CI10" si="40">CN8-CQ8</f>
        <v>1979049</v>
      </c>
      <c r="CJ8" s="86">
        <v>81100</v>
      </c>
      <c r="CK8" s="86">
        <v>58165</v>
      </c>
      <c r="CL8" s="86">
        <v>22935</v>
      </c>
      <c r="CM8" s="87">
        <f t="shared" ref="CM8:CM10" si="41">(CL8/CD8)*100</f>
        <v>1.1724776776813621</v>
      </c>
      <c r="CN8" s="86">
        <f t="shared" ref="CN8:CN10" si="42">CS8-CV8</f>
        <v>2002540</v>
      </c>
      <c r="CO8" s="86">
        <v>84907</v>
      </c>
      <c r="CP8" s="86">
        <v>61416</v>
      </c>
      <c r="CQ8" s="86">
        <v>23491</v>
      </c>
      <c r="CR8" s="87">
        <f t="shared" ref="CR8:CR10" si="43">(CQ8/CI8)*100</f>
        <v>1.1869842535480426</v>
      </c>
      <c r="CS8" s="86">
        <f t="shared" ref="CS8:CS10" si="44">CX8-DA8</f>
        <v>2023277</v>
      </c>
      <c r="CT8" s="86">
        <v>88021</v>
      </c>
      <c r="CU8" s="86">
        <v>67284</v>
      </c>
      <c r="CV8" s="86">
        <v>20737</v>
      </c>
      <c r="CW8" s="87">
        <f t="shared" ref="CW8:CW10" si="45">(CV8/CN8)*100</f>
        <v>1.0355348707141931</v>
      </c>
      <c r="CX8" s="86">
        <f t="shared" ref="CX8:CX10" si="46">DC8-DF8</f>
        <v>2039734</v>
      </c>
      <c r="CY8" s="86">
        <v>83965</v>
      </c>
      <c r="CZ8" s="86">
        <v>67508</v>
      </c>
      <c r="DA8" s="86">
        <v>16457</v>
      </c>
      <c r="DB8" s="87">
        <f t="shared" ref="DB8:DB10" si="47">(DA8/CS8)*100</f>
        <v>0.8133834368699886</v>
      </c>
      <c r="DC8" s="86">
        <f t="shared" ref="DC8:DC10" si="48">DH8-DK8</f>
        <v>2048713</v>
      </c>
      <c r="DD8" s="86">
        <v>83234</v>
      </c>
      <c r="DE8" s="86">
        <v>74255</v>
      </c>
      <c r="DF8" s="86">
        <v>8979</v>
      </c>
      <c r="DG8" s="87">
        <f t="shared" ref="DG8:DG10" si="49">(DF8/CX8)*100</f>
        <v>0.44020445803227282</v>
      </c>
      <c r="DH8" s="86">
        <f t="shared" ref="DH8:DH10" si="50">DM8-DP8</f>
        <v>2064692</v>
      </c>
      <c r="DI8" s="86">
        <v>80783</v>
      </c>
      <c r="DJ8" s="86">
        <v>64804</v>
      </c>
      <c r="DK8" s="86">
        <v>15979</v>
      </c>
      <c r="DL8" s="87">
        <f t="shared" ref="DL8:DL10" si="51">(DK8/DC8)*100</f>
        <v>0.77995307297801109</v>
      </c>
      <c r="DM8" s="86">
        <f t="shared" ref="DM8:DM10" si="52">DR8-DU8</f>
        <v>2050906</v>
      </c>
      <c r="DN8" s="86">
        <v>63197</v>
      </c>
      <c r="DO8" s="86">
        <v>76983</v>
      </c>
      <c r="DP8" s="86">
        <v>-13786</v>
      </c>
      <c r="DQ8" s="87">
        <f t="shared" ref="DQ8:DQ10" si="53">(DP8/DH8)*100</f>
        <v>-0.66770249509369917</v>
      </c>
      <c r="DR8" s="86">
        <f t="shared" ref="DR8:DR10" si="54">DW8-DZ8</f>
        <v>2053423</v>
      </c>
      <c r="DS8" s="86">
        <v>80746</v>
      </c>
      <c r="DT8" s="86">
        <v>78229</v>
      </c>
      <c r="DU8" s="86">
        <v>2517</v>
      </c>
      <c r="DV8" s="87">
        <f t="shared" ref="DV8:DV10" si="55">(DU8/DM8)*100</f>
        <v>0.12272624878955934</v>
      </c>
      <c r="DW8" s="86">
        <f t="shared" ref="DW8:DW10" si="56">EB8-EE8</f>
        <v>2066300</v>
      </c>
      <c r="DX8" s="86">
        <v>85620</v>
      </c>
      <c r="DY8" s="86">
        <v>72743</v>
      </c>
      <c r="DZ8" s="86">
        <v>12877</v>
      </c>
      <c r="EA8" s="87">
        <f t="shared" ref="EA8:EA10" si="57">(DZ8/DR8)*100</f>
        <v>0.62709923868584316</v>
      </c>
      <c r="EB8" s="86">
        <f t="shared" ref="EB8:EB10" si="58">EG8-EJ8</f>
        <v>2075690</v>
      </c>
      <c r="EC8" s="86">
        <v>87030</v>
      </c>
      <c r="ED8" s="86">
        <v>77640</v>
      </c>
      <c r="EE8" s="86">
        <v>9390</v>
      </c>
      <c r="EF8" s="87">
        <f t="shared" ref="EF8:EF10" si="59">(EE8/DW8)*100</f>
        <v>0.45443546435657939</v>
      </c>
      <c r="EG8" s="86">
        <f t="shared" ref="EG8:EG10" si="60">EL8-EO8</f>
        <v>2087833</v>
      </c>
      <c r="EH8" s="86">
        <v>84985</v>
      </c>
      <c r="EI8" s="86">
        <v>72842</v>
      </c>
      <c r="EJ8" s="86">
        <v>12143</v>
      </c>
      <c r="EK8" s="87">
        <f t="shared" ref="EK8:EK10" si="61">(EJ8/EB8)*100</f>
        <v>0.58501028573630942</v>
      </c>
      <c r="EL8" s="86">
        <f t="shared" ref="EL8:EL10" si="62">EQ8-ET8</f>
        <v>2104264</v>
      </c>
      <c r="EM8" s="86">
        <v>91251</v>
      </c>
      <c r="EN8" s="86">
        <v>74820</v>
      </c>
      <c r="EO8" s="86">
        <v>16431</v>
      </c>
      <c r="EP8" s="87">
        <f t="shared" ref="EP8:EP10" si="63">(EO8/EG8)*100</f>
        <v>0.78698823133842599</v>
      </c>
      <c r="EQ8" s="86">
        <f t="shared" ref="EQ8:EQ10" si="64">EV8-EY8</f>
        <v>2126072</v>
      </c>
      <c r="ER8" s="86">
        <v>95087</v>
      </c>
      <c r="ES8" s="86">
        <v>73279</v>
      </c>
      <c r="ET8" s="86">
        <v>21808</v>
      </c>
      <c r="EU8" s="87">
        <f t="shared" ref="EU8:EU10" si="65">(ET8/EL8)*100</f>
        <v>1.0363718620857458</v>
      </c>
      <c r="EV8" s="86">
        <f t="shared" ref="EV8:EV10" si="66">FA8-FD8</f>
        <v>2142167</v>
      </c>
      <c r="EW8" s="86">
        <v>93987</v>
      </c>
      <c r="EX8" s="86">
        <v>77892</v>
      </c>
      <c r="EY8" s="86">
        <v>16095</v>
      </c>
      <c r="EZ8" s="87">
        <f t="shared" ref="EZ8:EZ10" si="67">(EY8/EQ8)*100</f>
        <v>0.75702986540437012</v>
      </c>
      <c r="FA8" s="86">
        <f t="shared" ref="FA8:FA10" si="68">FF8-FI8</f>
        <v>2160517</v>
      </c>
      <c r="FB8" s="86">
        <v>100598</v>
      </c>
      <c r="FC8" s="86">
        <v>82248</v>
      </c>
      <c r="FD8" s="86">
        <v>18350</v>
      </c>
      <c r="FE8" s="87">
        <f t="shared" si="1"/>
        <v>0.85660921860900663</v>
      </c>
      <c r="FF8" s="86">
        <f t="shared" ref="FF8:FF10" si="69">FK8-FN8</f>
        <v>2179927</v>
      </c>
      <c r="FG8" s="86">
        <v>95701</v>
      </c>
      <c r="FH8" s="86">
        <v>76291</v>
      </c>
      <c r="FI8" s="86">
        <v>19410</v>
      </c>
      <c r="FJ8" s="87">
        <f t="shared" si="2"/>
        <v>0.8983960783460625</v>
      </c>
      <c r="FK8" s="86">
        <f t="shared" ref="FK8:FK10" si="70">FP8-FS8</f>
        <v>2187182</v>
      </c>
      <c r="FL8" s="86">
        <v>87037</v>
      </c>
      <c r="FM8" s="86">
        <v>79782</v>
      </c>
      <c r="FN8" s="86">
        <v>7255</v>
      </c>
      <c r="FO8" s="87">
        <f t="shared" si="3"/>
        <v>0.33280930966954397</v>
      </c>
      <c r="FP8" s="86">
        <f t="shared" ref="FP8:FP10" si="71">FU8-FX8</f>
        <v>2190199</v>
      </c>
      <c r="FQ8" s="86">
        <v>81438</v>
      </c>
      <c r="FR8" s="86">
        <v>78421</v>
      </c>
      <c r="FS8" s="86">
        <v>3017</v>
      </c>
      <c r="FT8" s="87">
        <f t="shared" si="4"/>
        <v>0.13794005254249531</v>
      </c>
      <c r="FU8" s="86">
        <f t="shared" ref="FU8:FU10" si="72">FZ8-GC8</f>
        <v>2162898</v>
      </c>
      <c r="FV8" s="86">
        <v>61724</v>
      </c>
      <c r="FW8" s="86">
        <v>89025</v>
      </c>
      <c r="FX8" s="86">
        <v>-27301</v>
      </c>
      <c r="FY8" s="87">
        <f t="shared" si="5"/>
        <v>-1.2465077374247728</v>
      </c>
      <c r="FZ8" s="86">
        <f t="shared" ref="FZ8:FZ10" si="73">GE8-GH8</f>
        <v>2162429</v>
      </c>
      <c r="GA8" s="86">
        <v>86412</v>
      </c>
      <c r="GB8" s="86">
        <v>86881</v>
      </c>
      <c r="GC8" s="86">
        <v>-469</v>
      </c>
      <c r="GD8" s="87">
        <f t="shared" si="6"/>
        <v>-2.1683870436793599E-2</v>
      </c>
      <c r="GE8" s="86">
        <f t="shared" ref="GE8:GE10" si="74">GJ8-GM8</f>
        <v>2175041</v>
      </c>
      <c r="GF8" s="86">
        <v>89110</v>
      </c>
      <c r="GG8" s="86">
        <v>76498</v>
      </c>
      <c r="GH8" s="86">
        <v>12612</v>
      </c>
      <c r="GI8" s="87">
        <f t="shared" si="7"/>
        <v>0.58323302175470271</v>
      </c>
      <c r="GJ8" s="86">
        <f t="shared" ref="GJ8:GJ10" si="75">GO8-GR8</f>
        <v>2185114</v>
      </c>
      <c r="GK8" s="86">
        <v>95807</v>
      </c>
      <c r="GL8" s="86">
        <v>85734</v>
      </c>
      <c r="GM8" s="86">
        <v>10073</v>
      </c>
      <c r="GN8" s="87">
        <f t="shared" si="8"/>
        <v>0.46311770674667746</v>
      </c>
      <c r="GO8" s="86">
        <f t="shared" ref="GO8:GO10" si="76">GT8-GW8</f>
        <v>2195964</v>
      </c>
      <c r="GP8" s="86">
        <v>85738</v>
      </c>
      <c r="GQ8" s="86">
        <v>74888</v>
      </c>
      <c r="GR8" s="86">
        <v>10850</v>
      </c>
      <c r="GS8" s="87">
        <f t="shared" ref="GS8:GS10" si="77">(GR8/GJ8)*100</f>
        <v>0.49654159920260454</v>
      </c>
      <c r="GT8" s="86">
        <f t="shared" ref="GT8:GT10" si="78">GY8-HB8</f>
        <v>2208588</v>
      </c>
      <c r="GU8" s="86">
        <v>95235</v>
      </c>
      <c r="GV8" s="86">
        <v>82611</v>
      </c>
      <c r="GW8" s="86">
        <v>12624</v>
      </c>
      <c r="GX8" s="87">
        <f t="shared" ref="GX8:GX10" si="79">(GW8/GO8)*100</f>
        <v>0.57487281212260311</v>
      </c>
      <c r="GY8" s="86">
        <f t="shared" ref="GY8:GY10" si="80">HD8-HG8</f>
        <v>2222693</v>
      </c>
      <c r="GZ8" s="86">
        <v>95979</v>
      </c>
      <c r="HA8" s="86">
        <v>81874</v>
      </c>
      <c r="HB8" s="86">
        <v>14105</v>
      </c>
      <c r="HC8" s="87">
        <f t="shared" ref="HC8:HC10" si="81">(HB8/GT8)*100</f>
        <v>0.63864333230099957</v>
      </c>
      <c r="HD8" s="86">
        <f t="shared" ref="HD8:HD10" si="82">HI8-HL8</f>
        <v>2237449</v>
      </c>
      <c r="HE8" s="86">
        <v>95075</v>
      </c>
      <c r="HF8" s="86">
        <v>80319</v>
      </c>
      <c r="HG8" s="86">
        <v>14756</v>
      </c>
      <c r="HH8" s="87">
        <f t="shared" ref="HH8:HH10" si="83">(HG8/GY8)*100</f>
        <v>0.66387935715818602</v>
      </c>
      <c r="HI8" s="86">
        <f t="shared" ref="HI8:HI10" si="84">HN8-HQ8</f>
        <v>2255301</v>
      </c>
      <c r="HJ8" s="86">
        <v>104742</v>
      </c>
      <c r="HK8" s="86">
        <v>86890</v>
      </c>
      <c r="HL8" s="86">
        <v>17852</v>
      </c>
      <c r="HM8" s="87">
        <f t="shared" ref="HM8:HM10" si="85">(HL8/HD8)*100</f>
        <v>0.79787293475739562</v>
      </c>
      <c r="HN8" s="86">
        <f t="shared" ref="HN8:HN10" si="86">HS8-HV8</f>
        <v>2272151</v>
      </c>
      <c r="HO8" s="86">
        <v>95468</v>
      </c>
      <c r="HP8" s="86">
        <v>78618</v>
      </c>
      <c r="HQ8" s="86">
        <v>16850</v>
      </c>
      <c r="HR8" s="87">
        <f t="shared" ref="HR8:HR10" si="87">(HQ8/HI8)*100</f>
        <v>0.74712865378058191</v>
      </c>
      <c r="HS8" s="86">
        <f t="shared" ref="HS8:HS10" si="88">HX8-IA8</f>
        <v>2282374</v>
      </c>
      <c r="HT8" s="86">
        <v>91689</v>
      </c>
      <c r="HU8" s="86">
        <v>81466</v>
      </c>
      <c r="HV8" s="86">
        <v>10223</v>
      </c>
      <c r="HW8" s="87">
        <f t="shared" ref="HW8:HW10" si="89">(HV8/HN8)*100</f>
        <v>0.44992608325767081</v>
      </c>
      <c r="HX8" s="86">
        <f t="shared" ref="HX8:HX10" si="90">IC8-IF8</f>
        <v>2286979</v>
      </c>
      <c r="HY8" s="86">
        <v>86455</v>
      </c>
      <c r="HZ8" s="86">
        <v>81850</v>
      </c>
      <c r="IA8" s="86">
        <v>4605</v>
      </c>
      <c r="IB8" s="87">
        <f t="shared" ref="IB8:IB10" si="91">(IA8/HS8)*100</f>
        <v>0.20176360228428819</v>
      </c>
      <c r="IC8" s="86">
        <v>2267175</v>
      </c>
      <c r="ID8" s="86">
        <v>67524</v>
      </c>
      <c r="IE8" s="86">
        <v>87328</v>
      </c>
      <c r="IF8" s="86">
        <v>-19804</v>
      </c>
      <c r="IG8" s="87">
        <f>(IF8/HX8)*100</f>
        <v>-0.86594586133060258</v>
      </c>
      <c r="IH8" s="86">
        <f>SUM(IC8+IK8)</f>
        <v>2271471</v>
      </c>
      <c r="II8" s="86">
        <v>93486</v>
      </c>
      <c r="IJ8" s="86">
        <v>89190</v>
      </c>
      <c r="IK8" s="86">
        <v>4296</v>
      </c>
      <c r="IL8" s="87">
        <f t="shared" ref="IL8:IL10" si="92">IK8/(IH8-IK8)*100</f>
        <v>0.18948691653710015</v>
      </c>
      <c r="IM8" s="86">
        <f>SUM(IH8+IP8)</f>
        <v>2288533</v>
      </c>
      <c r="IN8" s="86">
        <v>103859</v>
      </c>
      <c r="IO8" s="86">
        <v>86797</v>
      </c>
      <c r="IP8" s="86">
        <v>17062</v>
      </c>
      <c r="IQ8" s="87">
        <f t="shared" ref="IQ8:IQ10" si="93">IP8/(IM8-IP8)*100</f>
        <v>0.75114320191629125</v>
      </c>
      <c r="IR8" s="86">
        <f>SUM(IM8+IU8)</f>
        <v>2298203</v>
      </c>
      <c r="IS8" s="86">
        <v>100945</v>
      </c>
      <c r="IT8" s="86">
        <v>91275</v>
      </c>
      <c r="IU8" s="86">
        <v>9670</v>
      </c>
      <c r="IV8" s="87">
        <f t="shared" ref="IV8:IV10" si="94">IU8/(IR8-IU8)*100</f>
        <v>0.42254142719375248</v>
      </c>
      <c r="IW8" s="86">
        <f>SUM(IR8+IZ8)</f>
        <v>2313948</v>
      </c>
      <c r="IX8" s="86">
        <v>106544</v>
      </c>
      <c r="IY8" s="86">
        <v>90799</v>
      </c>
      <c r="IZ8" s="86">
        <v>15745</v>
      </c>
      <c r="JA8" s="87">
        <f t="shared" ref="JA8:JA10" si="95">(IZ8/IR8)*100</f>
        <v>0.68510048938235657</v>
      </c>
      <c r="JB8" s="86">
        <f>SUM(IW8+JE8)</f>
        <v>2323860</v>
      </c>
      <c r="JC8" s="86">
        <v>101879</v>
      </c>
      <c r="JD8" s="86">
        <v>91967</v>
      </c>
      <c r="JE8" s="86">
        <v>9912</v>
      </c>
      <c r="JF8" s="87">
        <f t="shared" ref="JF8:JF10" si="96">(JE8/IW8)*100</f>
        <v>0.42835880495153739</v>
      </c>
      <c r="JG8" s="86">
        <f>SUM(JB8+JJ8)</f>
        <v>2342121</v>
      </c>
      <c r="JH8" s="86">
        <v>104416</v>
      </c>
      <c r="JI8" s="86">
        <v>86155</v>
      </c>
      <c r="JJ8" s="86">
        <v>18261</v>
      </c>
      <c r="JK8" s="87">
        <f t="shared" ref="JK8:JK10" si="97">(JJ8/JB8)*100</f>
        <v>0.78580465260385746</v>
      </c>
      <c r="JL8" s="86">
        <f>SUM(JG8+JO8)</f>
        <v>2355621</v>
      </c>
      <c r="JM8" s="86">
        <v>108327</v>
      </c>
      <c r="JN8" s="86">
        <v>94827</v>
      </c>
      <c r="JO8" s="86">
        <v>13500</v>
      </c>
      <c r="JP8" s="87">
        <f t="shared" ref="JP8:JP10" si="98">(JO8/JG8)*100</f>
        <v>0.57640062148795901</v>
      </c>
      <c r="JQ8" s="86">
        <f t="shared" ref="JQ8:JQ10" si="99">JL8+JT8</f>
        <v>2370507</v>
      </c>
      <c r="JR8" s="86">
        <v>110080</v>
      </c>
      <c r="JS8" s="86">
        <v>95194</v>
      </c>
      <c r="JT8" s="86">
        <v>14886</v>
      </c>
      <c r="JU8" s="87">
        <f t="shared" ref="JU8:JU10" si="100">(JT8/JL8)*100</f>
        <v>0.63193527311906283</v>
      </c>
      <c r="JV8" s="86">
        <f t="shared" ref="JV8:JV10" si="101">JQ8+JY8</f>
        <v>2386116</v>
      </c>
      <c r="JW8" s="86">
        <v>103881</v>
      </c>
      <c r="JX8" s="86">
        <v>88272</v>
      </c>
      <c r="JY8" s="86">
        <v>15609</v>
      </c>
      <c r="JZ8" s="87">
        <f t="shared" ref="JZ8:JZ10" si="102">(JY8/JQ8)*100</f>
        <v>0.65846673306596437</v>
      </c>
      <c r="KA8" s="86">
        <f t="shared" ref="KA8:KA10" si="103">JV8+KD8</f>
        <v>2393465</v>
      </c>
      <c r="KB8" s="86">
        <v>104651</v>
      </c>
      <c r="KC8" s="86">
        <v>97302</v>
      </c>
      <c r="KD8" s="86">
        <v>7349</v>
      </c>
      <c r="KE8" s="87">
        <f t="shared" ref="KE8:KE10" si="104">(KD8/JV8)*100</f>
        <v>0.30799005580617206</v>
      </c>
      <c r="KF8" s="86">
        <f t="shared" ref="KF8:KF10" si="105">KA8+KI8</f>
        <v>2400739</v>
      </c>
      <c r="KG8" s="86">
        <v>95531</v>
      </c>
      <c r="KH8" s="86">
        <v>88257</v>
      </c>
      <c r="KI8" s="86">
        <v>7274</v>
      </c>
      <c r="KJ8" s="87">
        <f t="shared" ref="KJ8:KJ10" si="106">(KI8/KA8)*100</f>
        <v>0.30391085727177963</v>
      </c>
      <c r="KK8" s="86">
        <f t="shared" ref="KK8:KK10" si="107">KF8+KN8</f>
        <v>2377446</v>
      </c>
      <c r="KL8" s="86">
        <v>73336</v>
      </c>
      <c r="KM8" s="86">
        <v>96629</v>
      </c>
      <c r="KN8" s="86">
        <v>-23293</v>
      </c>
      <c r="KO8" s="87">
        <f t="shared" ref="KO8:KO10" si="108">(KN8/KF8)*100</f>
        <v>-0.97024291270313023</v>
      </c>
      <c r="KP8" s="86">
        <f t="shared" ref="KP8:KP10" si="109">KK8+KS8</f>
        <v>2379378</v>
      </c>
      <c r="KQ8" s="86">
        <v>104619</v>
      </c>
      <c r="KR8" s="86">
        <v>102687</v>
      </c>
      <c r="KS8" s="86">
        <v>1932</v>
      </c>
      <c r="KT8" s="87">
        <f t="shared" ref="KT8:KT10" si="110">(KS8/KK8)*100</f>
        <v>8.1263675389472573E-2</v>
      </c>
      <c r="KU8" s="86">
        <f t="shared" ref="KU8:KU10" si="111">KP8+KX8</f>
        <v>2400144</v>
      </c>
      <c r="KV8" s="86">
        <v>119744</v>
      </c>
      <c r="KW8" s="86">
        <v>98978</v>
      </c>
      <c r="KX8" s="86">
        <v>20766</v>
      </c>
      <c r="KY8" s="87">
        <f t="shared" ref="KY8:KY10" si="112">(KX8/KP8)*100</f>
        <v>0.87274909661264422</v>
      </c>
      <c r="KZ8" s="86">
        <f t="shared" ref="KZ8:KZ10" si="113">KU8+LC8</f>
        <v>2405314</v>
      </c>
      <c r="LA8" s="86">
        <v>103992</v>
      </c>
      <c r="LB8" s="86">
        <v>98822</v>
      </c>
      <c r="LC8" s="86">
        <v>5170</v>
      </c>
      <c r="LD8" s="87">
        <f t="shared" ref="LD8:LD10" si="114">(LC8/KU8)*100</f>
        <v>0.21540374244212016</v>
      </c>
      <c r="LE8" s="86">
        <f t="shared" ref="LE8:LE10" si="115">KZ8+LH8</f>
        <v>2418141</v>
      </c>
      <c r="LF8" s="86">
        <v>106881</v>
      </c>
      <c r="LG8" s="86">
        <v>94054</v>
      </c>
      <c r="LH8" s="86">
        <v>12827</v>
      </c>
      <c r="LI8" s="87">
        <f t="shared" ref="LI8:LI10" si="116">(LH8/KZ8)*100</f>
        <v>0.53327756791836745</v>
      </c>
      <c r="LJ8" s="86">
        <f t="shared" ref="LJ8:LJ10" si="117">LE8+LM8</f>
        <v>2428977</v>
      </c>
      <c r="LK8" s="86">
        <v>112270</v>
      </c>
      <c r="LL8" s="86">
        <v>101434</v>
      </c>
      <c r="LM8" s="86">
        <v>10836</v>
      </c>
      <c r="LN8" s="87">
        <f t="shared" ref="LN8:LN10" si="118">(LM8/LE8)*100</f>
        <v>0.4481128271676465</v>
      </c>
      <c r="LO8" s="86">
        <f t="shared" ref="LO8:LO10" si="119">LJ8+LR8</f>
        <v>2440660</v>
      </c>
      <c r="LP8" s="86">
        <v>106775</v>
      </c>
      <c r="LQ8" s="86">
        <v>95092</v>
      </c>
      <c r="LR8" s="86">
        <v>11683</v>
      </c>
      <c r="LS8" s="87">
        <f t="shared" ref="LS8:LS10" si="120">(LR8/LJ8)*100</f>
        <v>0.48098438149064404</v>
      </c>
      <c r="LT8" s="86">
        <f t="shared" ref="LT8:LT10" si="121">LO8+LW8</f>
        <v>2448788</v>
      </c>
      <c r="LU8" s="86">
        <v>112163</v>
      </c>
      <c r="LV8" s="86">
        <v>104035</v>
      </c>
      <c r="LW8" s="86">
        <v>8128</v>
      </c>
      <c r="LX8" s="87">
        <f t="shared" ref="LX8:LX10" si="122">(LW8/LO8)*100</f>
        <v>0.33302467365384769</v>
      </c>
      <c r="LY8" s="86">
        <f t="shared" ref="LY8:LY10" si="123">LT8+MB8</f>
        <v>2460872</v>
      </c>
      <c r="LZ8" s="86">
        <v>113360</v>
      </c>
      <c r="MA8" s="86">
        <v>101276</v>
      </c>
      <c r="MB8" s="86">
        <v>12084</v>
      </c>
      <c r="MC8" s="87">
        <f t="shared" ref="MC8:MC10" si="124">(MB8/LT8)*100</f>
        <v>0.49346860569391876</v>
      </c>
      <c r="MD8" s="86">
        <f t="shared" ref="MD8:MD10" si="125">LY8+MG8</f>
        <v>2479023</v>
      </c>
      <c r="ME8" s="86">
        <v>115700</v>
      </c>
      <c r="MF8" s="86">
        <v>97549</v>
      </c>
      <c r="MG8" s="86">
        <v>18151</v>
      </c>
      <c r="MH8" s="87">
        <f t="shared" ref="MH8:MH10" si="126">(MG8/LY8)*100</f>
        <v>0.7375840758885468</v>
      </c>
      <c r="MI8" s="86">
        <f t="shared" ref="MI8:MI10" si="127">MD8+ML8</f>
        <v>2483509</v>
      </c>
      <c r="MJ8" s="86">
        <v>109608</v>
      </c>
      <c r="MK8" s="86">
        <v>105122</v>
      </c>
      <c r="ML8" s="86">
        <v>4486</v>
      </c>
      <c r="MM8" s="87">
        <f t="shared" si="9"/>
        <v>0.18095838562207772</v>
      </c>
      <c r="MN8" s="86">
        <f t="shared" si="10"/>
        <v>2489587</v>
      </c>
      <c r="MO8" s="86">
        <v>98345</v>
      </c>
      <c r="MP8" s="86">
        <v>92267</v>
      </c>
      <c r="MQ8" s="86">
        <v>6078</v>
      </c>
      <c r="MR8" s="87">
        <f t="shared" si="11"/>
        <v>0.24473436577036764</v>
      </c>
      <c r="MS8" s="86">
        <f t="shared" si="12"/>
        <v>2458114</v>
      </c>
      <c r="MT8" s="86">
        <v>73859</v>
      </c>
      <c r="MU8" s="86">
        <v>105332</v>
      </c>
      <c r="MV8" s="86">
        <v>-31473</v>
      </c>
      <c r="MW8" s="87">
        <f t="shared" si="13"/>
        <v>-1.2641855858019824</v>
      </c>
      <c r="MX8" s="86">
        <f>MS8+NA8</f>
        <v>2459852</v>
      </c>
      <c r="MY8" s="86">
        <v>104764</v>
      </c>
      <c r="MZ8" s="86">
        <v>103026</v>
      </c>
      <c r="NA8" s="86">
        <v>1738</v>
      </c>
      <c r="NB8" s="103">
        <v>7.0330687000000003E-2</v>
      </c>
      <c r="NC8" s="86">
        <f>MX8+NF8</f>
        <v>2470486</v>
      </c>
      <c r="ND8" s="86">
        <v>110126</v>
      </c>
      <c r="NE8" s="86">
        <v>99492</v>
      </c>
      <c r="NF8" s="86">
        <v>10634</v>
      </c>
      <c r="NG8" s="103">
        <f t="shared" si="14"/>
        <v>0.43044162160805605</v>
      </c>
      <c r="NH8" s="86">
        <f>NC8+NK8</f>
        <v>2478372</v>
      </c>
      <c r="NI8" s="86">
        <v>115255</v>
      </c>
      <c r="NJ8" s="86">
        <v>107369</v>
      </c>
      <c r="NK8" s="86">
        <v>7886</v>
      </c>
      <c r="NL8" s="103">
        <f t="shared" si="15"/>
        <v>0.31819274911111001</v>
      </c>
      <c r="NM8" s="86">
        <f t="shared" ref="NM8:NM10" si="128">SUM(ND8,MY8,NI8)</f>
        <v>330145</v>
      </c>
      <c r="NN8" s="86">
        <f t="shared" si="16"/>
        <v>309887</v>
      </c>
      <c r="NO8" s="86">
        <f t="shared" si="16"/>
        <v>20258</v>
      </c>
      <c r="NP8" s="103">
        <f t="shared" ref="NP8:NP10" si="129">(NO8/MS8)*100</f>
        <v>0.82412776624680539</v>
      </c>
      <c r="NQ8" s="86">
        <f t="shared" ref="NQ8:NQ10" si="130">SUM(MO8,MJ8,ME8,LZ8,LU8,LP8,LK8,LF8,MT8,MY8,ND8,NI8)</f>
        <v>1279106</v>
      </c>
      <c r="NR8" s="86">
        <f t="shared" si="17"/>
        <v>1206048</v>
      </c>
      <c r="NS8" s="86">
        <f t="shared" si="17"/>
        <v>73058</v>
      </c>
      <c r="NT8" s="103">
        <f t="shared" ref="NT8:NT10" si="131">NS8/(NH8-NS8)*100</f>
        <v>3.0373581162376304</v>
      </c>
      <c r="NU8" s="41"/>
      <c r="NV8" s="48"/>
    </row>
    <row r="9" spans="1:389" ht="31.5" customHeight="1">
      <c r="A9" s="41"/>
      <c r="B9" s="88" t="s">
        <v>15</v>
      </c>
      <c r="C9" s="89">
        <f t="shared" si="18"/>
        <v>242558</v>
      </c>
      <c r="D9" s="89">
        <v>8560</v>
      </c>
      <c r="E9" s="89">
        <v>8693</v>
      </c>
      <c r="F9" s="90">
        <v>-133</v>
      </c>
      <c r="G9" s="89">
        <f t="shared" si="19"/>
        <v>243274</v>
      </c>
      <c r="H9" s="89">
        <v>9387</v>
      </c>
      <c r="I9" s="89">
        <v>8671</v>
      </c>
      <c r="J9" s="89">
        <v>716</v>
      </c>
      <c r="K9" s="91">
        <f t="shared" si="0"/>
        <v>0.29518713050074619</v>
      </c>
      <c r="L9" s="89">
        <f t="shared" si="20"/>
        <v>242516</v>
      </c>
      <c r="M9" s="89">
        <v>8372</v>
      </c>
      <c r="N9" s="89">
        <v>9130</v>
      </c>
      <c r="O9" s="89">
        <v>-758</v>
      </c>
      <c r="P9" s="91">
        <f t="shared" ref="P9:P10" si="132">(O9/G9)*100</f>
        <v>-0.31158282430510453</v>
      </c>
      <c r="Q9" s="89">
        <f t="shared" si="21"/>
        <v>237437</v>
      </c>
      <c r="R9" s="89">
        <v>3590</v>
      </c>
      <c r="S9" s="89">
        <v>8669</v>
      </c>
      <c r="T9" s="89">
        <v>-5079</v>
      </c>
      <c r="U9" s="91">
        <f t="shared" ref="U9:U10" si="133">(T9/L9)*100</f>
        <v>-2.0942948094146367</v>
      </c>
      <c r="V9" s="89">
        <f t="shared" si="22"/>
        <v>236203</v>
      </c>
      <c r="W9" s="89">
        <v>5259</v>
      </c>
      <c r="X9" s="89">
        <v>6493</v>
      </c>
      <c r="Y9" s="89">
        <v>-1234</v>
      </c>
      <c r="Z9" s="91">
        <f t="shared" ref="Z9:Z10" si="134">(Y9/Q9)*100</f>
        <v>-0.5197168090904114</v>
      </c>
      <c r="AA9" s="89">
        <f t="shared" si="23"/>
        <v>237033</v>
      </c>
      <c r="AB9" s="89">
        <v>6829</v>
      </c>
      <c r="AC9" s="89">
        <v>5999</v>
      </c>
      <c r="AD9" s="90">
        <v>830</v>
      </c>
      <c r="AE9" s="91">
        <f t="shared" ref="AE9:AE10" si="135">(AD9/V9)*100</f>
        <v>0.35139265801027081</v>
      </c>
      <c r="AF9" s="89">
        <f t="shared" si="24"/>
        <v>238467</v>
      </c>
      <c r="AG9" s="89">
        <v>8352</v>
      </c>
      <c r="AH9" s="89">
        <v>6918</v>
      </c>
      <c r="AI9" s="89">
        <v>1434</v>
      </c>
      <c r="AJ9" s="91">
        <f t="shared" ref="AJ9:AJ10" si="136">(AI9/AA9)*100</f>
        <v>0.60497905354950576</v>
      </c>
      <c r="AK9" s="89">
        <f t="shared" si="25"/>
        <v>240104</v>
      </c>
      <c r="AL9" s="89">
        <v>8553</v>
      </c>
      <c r="AM9" s="89">
        <v>6916</v>
      </c>
      <c r="AN9" s="89">
        <v>1637</v>
      </c>
      <c r="AO9" s="91">
        <f t="shared" ref="AO9:AO10" si="137">(AN9/AF9)*100</f>
        <v>0.68646814863272487</v>
      </c>
      <c r="AP9" s="89">
        <f t="shared" si="26"/>
        <v>241617</v>
      </c>
      <c r="AQ9" s="89">
        <v>9012</v>
      </c>
      <c r="AR9" s="89">
        <v>7499</v>
      </c>
      <c r="AS9" s="89">
        <v>1513</v>
      </c>
      <c r="AT9" s="91">
        <f t="shared" ref="AT9:AT10" si="138">(AS9/AK9)*100</f>
        <v>0.63014360443807682</v>
      </c>
      <c r="AU9" s="89">
        <f t="shared" si="27"/>
        <v>243153</v>
      </c>
      <c r="AV9" s="89">
        <v>9175</v>
      </c>
      <c r="AW9" s="89">
        <v>7639</v>
      </c>
      <c r="AX9" s="89">
        <v>1536</v>
      </c>
      <c r="AY9" s="91">
        <f t="shared" ref="AY9:AY10" si="139">(AX9/AP9)*100</f>
        <v>0.63571685767143871</v>
      </c>
      <c r="AZ9" s="89">
        <f t="shared" si="28"/>
        <v>244221</v>
      </c>
      <c r="BA9" s="89">
        <v>8952</v>
      </c>
      <c r="BB9" s="89">
        <v>7884</v>
      </c>
      <c r="BC9" s="90">
        <v>1068</v>
      </c>
      <c r="BD9" s="91">
        <f t="shared" ref="BD9:BD10" si="140">(BC9/AU9)*100</f>
        <v>0.4392296208560042</v>
      </c>
      <c r="BE9" s="89">
        <f t="shared" si="29"/>
        <v>244508</v>
      </c>
      <c r="BF9" s="89">
        <v>7387</v>
      </c>
      <c r="BG9" s="89">
        <v>7100</v>
      </c>
      <c r="BH9" s="90">
        <v>287</v>
      </c>
      <c r="BI9" s="91">
        <f t="shared" ref="BI9:BI10" si="141">(BH9/AZ9)*100</f>
        <v>0.11751651168408941</v>
      </c>
      <c r="BJ9" s="89">
        <f t="shared" si="30"/>
        <v>245068</v>
      </c>
      <c r="BK9" s="89">
        <v>8796</v>
      </c>
      <c r="BL9" s="89">
        <v>8236</v>
      </c>
      <c r="BM9" s="90">
        <v>560</v>
      </c>
      <c r="BN9" s="91">
        <f t="shared" si="31"/>
        <v>0.22903136093706547</v>
      </c>
      <c r="BO9" s="89">
        <f t="shared" si="32"/>
        <v>246921</v>
      </c>
      <c r="BP9" s="89">
        <v>9960</v>
      </c>
      <c r="BQ9" s="89">
        <v>8107</v>
      </c>
      <c r="BR9" s="89">
        <v>1853</v>
      </c>
      <c r="BS9" s="91">
        <f t="shared" si="33"/>
        <v>0.75611666965903346</v>
      </c>
      <c r="BT9" s="89">
        <f t="shared" si="34"/>
        <v>247516</v>
      </c>
      <c r="BU9" s="89">
        <v>9274</v>
      </c>
      <c r="BV9" s="89">
        <v>8679</v>
      </c>
      <c r="BW9" s="90">
        <v>595</v>
      </c>
      <c r="BX9" s="91">
        <f t="shared" si="35"/>
        <v>0.24096775891884448</v>
      </c>
      <c r="BY9" s="89">
        <f t="shared" si="36"/>
        <v>248233</v>
      </c>
      <c r="BZ9" s="89">
        <v>8694</v>
      </c>
      <c r="CA9" s="89">
        <v>7977</v>
      </c>
      <c r="CB9" s="90">
        <v>717</v>
      </c>
      <c r="CC9" s="91">
        <f t="shared" si="37"/>
        <v>0.28967824302267325</v>
      </c>
      <c r="CD9" s="89">
        <f t="shared" si="38"/>
        <v>249685</v>
      </c>
      <c r="CE9" s="89">
        <v>10437</v>
      </c>
      <c r="CF9" s="89">
        <v>8985</v>
      </c>
      <c r="CG9" s="89">
        <v>1452</v>
      </c>
      <c r="CH9" s="91">
        <f t="shared" si="39"/>
        <v>0.58493431574367627</v>
      </c>
      <c r="CI9" s="89">
        <f t="shared" si="40"/>
        <v>252660</v>
      </c>
      <c r="CJ9" s="89">
        <v>12096</v>
      </c>
      <c r="CK9" s="89">
        <v>9121</v>
      </c>
      <c r="CL9" s="89">
        <v>2975</v>
      </c>
      <c r="CM9" s="91">
        <f t="shared" si="41"/>
        <v>1.1915012916274506</v>
      </c>
      <c r="CN9" s="89">
        <f t="shared" si="42"/>
        <v>255164</v>
      </c>
      <c r="CO9" s="89">
        <v>12378</v>
      </c>
      <c r="CP9" s="89">
        <v>9874</v>
      </c>
      <c r="CQ9" s="89">
        <v>2504</v>
      </c>
      <c r="CR9" s="91">
        <f t="shared" si="43"/>
        <v>0.9910551729597088</v>
      </c>
      <c r="CS9" s="89">
        <f t="shared" si="44"/>
        <v>257450</v>
      </c>
      <c r="CT9" s="89">
        <v>12578</v>
      </c>
      <c r="CU9" s="89">
        <v>10292</v>
      </c>
      <c r="CV9" s="89">
        <v>2286</v>
      </c>
      <c r="CW9" s="91">
        <f t="shared" si="45"/>
        <v>0.89589440516687302</v>
      </c>
      <c r="CX9" s="89">
        <f t="shared" si="46"/>
        <v>257879</v>
      </c>
      <c r="CY9" s="89">
        <v>11845</v>
      </c>
      <c r="CZ9" s="89">
        <v>11416</v>
      </c>
      <c r="DA9" s="90">
        <v>429</v>
      </c>
      <c r="DB9" s="91">
        <f t="shared" si="47"/>
        <v>0.16663429792192658</v>
      </c>
      <c r="DC9" s="89">
        <f t="shared" si="48"/>
        <v>258733</v>
      </c>
      <c r="DD9" s="89">
        <v>11746</v>
      </c>
      <c r="DE9" s="89">
        <v>10892</v>
      </c>
      <c r="DF9" s="90">
        <v>854</v>
      </c>
      <c r="DG9" s="91">
        <f t="shared" si="49"/>
        <v>0.33116306484824276</v>
      </c>
      <c r="DH9" s="89">
        <f t="shared" si="50"/>
        <v>260237</v>
      </c>
      <c r="DI9" s="89">
        <v>11796</v>
      </c>
      <c r="DJ9" s="89">
        <v>10292</v>
      </c>
      <c r="DK9" s="89">
        <v>1504</v>
      </c>
      <c r="DL9" s="91">
        <f t="shared" si="51"/>
        <v>0.58129422995906976</v>
      </c>
      <c r="DM9" s="89">
        <f t="shared" si="52"/>
        <v>259221</v>
      </c>
      <c r="DN9" s="89">
        <v>9900</v>
      </c>
      <c r="DO9" s="89">
        <v>10916</v>
      </c>
      <c r="DP9" s="89">
        <v>-1016</v>
      </c>
      <c r="DQ9" s="91">
        <f t="shared" si="53"/>
        <v>-0.39041335398117871</v>
      </c>
      <c r="DR9" s="89">
        <f t="shared" si="54"/>
        <v>259985</v>
      </c>
      <c r="DS9" s="89">
        <v>12053</v>
      </c>
      <c r="DT9" s="89">
        <v>11289</v>
      </c>
      <c r="DU9" s="90">
        <v>764</v>
      </c>
      <c r="DV9" s="91">
        <f t="shared" si="55"/>
        <v>0.29472920789596518</v>
      </c>
      <c r="DW9" s="89">
        <f t="shared" si="56"/>
        <v>262713</v>
      </c>
      <c r="DX9" s="89">
        <v>14085</v>
      </c>
      <c r="DY9" s="89">
        <v>11357</v>
      </c>
      <c r="DZ9" s="89">
        <v>2728</v>
      </c>
      <c r="EA9" s="91">
        <f t="shared" si="57"/>
        <v>1.0492913052676116</v>
      </c>
      <c r="EB9" s="89">
        <f t="shared" si="58"/>
        <v>264178</v>
      </c>
      <c r="EC9" s="89">
        <v>13631</v>
      </c>
      <c r="ED9" s="89">
        <v>12166</v>
      </c>
      <c r="EE9" s="89">
        <v>1465</v>
      </c>
      <c r="EF9" s="91">
        <f t="shared" si="59"/>
        <v>0.55764275083456083</v>
      </c>
      <c r="EG9" s="89">
        <f t="shared" si="60"/>
        <v>265499</v>
      </c>
      <c r="EH9" s="89">
        <v>12451</v>
      </c>
      <c r="EI9" s="89">
        <v>11130</v>
      </c>
      <c r="EJ9" s="89">
        <v>1321</v>
      </c>
      <c r="EK9" s="91">
        <f t="shared" si="61"/>
        <v>0.50004163859216133</v>
      </c>
      <c r="EL9" s="89">
        <f t="shared" si="62"/>
        <v>267572</v>
      </c>
      <c r="EM9" s="89">
        <v>13379</v>
      </c>
      <c r="EN9" s="89">
        <v>11306</v>
      </c>
      <c r="EO9" s="89">
        <v>2073</v>
      </c>
      <c r="EP9" s="91">
        <f t="shared" si="63"/>
        <v>0.7807939012952968</v>
      </c>
      <c r="EQ9" s="89">
        <f t="shared" si="64"/>
        <v>270071</v>
      </c>
      <c r="ER9" s="89">
        <v>13606</v>
      </c>
      <c r="ES9" s="89">
        <v>11107</v>
      </c>
      <c r="ET9" s="89">
        <v>2499</v>
      </c>
      <c r="EU9" s="91">
        <f t="shared" si="65"/>
        <v>0.93395422540475082</v>
      </c>
      <c r="EV9" s="89">
        <f t="shared" si="66"/>
        <v>271628</v>
      </c>
      <c r="EW9" s="89">
        <v>13469</v>
      </c>
      <c r="EX9" s="89">
        <v>11912</v>
      </c>
      <c r="EY9" s="89">
        <v>1557</v>
      </c>
      <c r="EZ9" s="91">
        <f t="shared" si="67"/>
        <v>0.576515064557098</v>
      </c>
      <c r="FA9" s="89">
        <f t="shared" si="68"/>
        <v>273534</v>
      </c>
      <c r="FB9" s="89">
        <v>14297</v>
      </c>
      <c r="FC9" s="89">
        <v>12391</v>
      </c>
      <c r="FD9" s="89">
        <v>1906</v>
      </c>
      <c r="FE9" s="91">
        <f t="shared" si="1"/>
        <v>0.70169496517295715</v>
      </c>
      <c r="FF9" s="89">
        <f t="shared" si="69"/>
        <v>275279</v>
      </c>
      <c r="FG9" s="89">
        <v>13173</v>
      </c>
      <c r="FH9" s="89">
        <v>11428</v>
      </c>
      <c r="FI9" s="89">
        <v>1745</v>
      </c>
      <c r="FJ9" s="91">
        <f t="shared" si="2"/>
        <v>0.63794628821279986</v>
      </c>
      <c r="FK9" s="89">
        <f t="shared" si="70"/>
        <v>275878</v>
      </c>
      <c r="FL9" s="89">
        <v>12086</v>
      </c>
      <c r="FM9" s="89">
        <v>11487</v>
      </c>
      <c r="FN9" s="90">
        <v>599</v>
      </c>
      <c r="FO9" s="91">
        <f t="shared" si="3"/>
        <v>0.21759741934546406</v>
      </c>
      <c r="FP9" s="89">
        <f t="shared" si="71"/>
        <v>276104</v>
      </c>
      <c r="FQ9" s="89">
        <v>10729</v>
      </c>
      <c r="FR9" s="89">
        <v>10503</v>
      </c>
      <c r="FS9" s="90">
        <v>226</v>
      </c>
      <c r="FT9" s="91">
        <f t="shared" si="4"/>
        <v>8.1920269104459223E-2</v>
      </c>
      <c r="FU9" s="89">
        <f t="shared" si="72"/>
        <v>274751</v>
      </c>
      <c r="FV9" s="89">
        <v>9049</v>
      </c>
      <c r="FW9" s="89">
        <v>10402</v>
      </c>
      <c r="FX9" s="89">
        <v>-1353</v>
      </c>
      <c r="FY9" s="91">
        <f t="shared" si="5"/>
        <v>-0.49003274128589225</v>
      </c>
      <c r="FZ9" s="89">
        <f t="shared" si="73"/>
        <v>274254</v>
      </c>
      <c r="GA9" s="89">
        <v>12148</v>
      </c>
      <c r="GB9" s="89">
        <v>12645</v>
      </c>
      <c r="GC9" s="90">
        <v>-497</v>
      </c>
      <c r="GD9" s="91">
        <f t="shared" si="6"/>
        <v>-0.18089106136101415</v>
      </c>
      <c r="GE9" s="89">
        <f t="shared" si="74"/>
        <v>276652</v>
      </c>
      <c r="GF9" s="89">
        <v>14177</v>
      </c>
      <c r="GG9" s="89">
        <v>11779</v>
      </c>
      <c r="GH9" s="89">
        <v>2398</v>
      </c>
      <c r="GI9" s="91">
        <f t="shared" si="7"/>
        <v>0.87437193258803869</v>
      </c>
      <c r="GJ9" s="89">
        <f t="shared" si="75"/>
        <v>277743</v>
      </c>
      <c r="GK9" s="89">
        <v>14135</v>
      </c>
      <c r="GL9" s="89">
        <v>13044</v>
      </c>
      <c r="GM9" s="89">
        <v>1091</v>
      </c>
      <c r="GN9" s="91">
        <f t="shared" si="8"/>
        <v>0.39435825513641687</v>
      </c>
      <c r="GO9" s="89">
        <f t="shared" si="76"/>
        <v>278551</v>
      </c>
      <c r="GP9" s="89">
        <v>12199</v>
      </c>
      <c r="GQ9" s="89">
        <v>11391</v>
      </c>
      <c r="GR9" s="90">
        <v>808</v>
      </c>
      <c r="GS9" s="91">
        <f t="shared" si="77"/>
        <v>0.29091642273612656</v>
      </c>
      <c r="GT9" s="89">
        <f t="shared" si="78"/>
        <v>280263</v>
      </c>
      <c r="GU9" s="89">
        <v>14111</v>
      </c>
      <c r="GV9" s="89">
        <v>12399</v>
      </c>
      <c r="GW9" s="89">
        <v>1712</v>
      </c>
      <c r="GX9" s="91">
        <f t="shared" si="79"/>
        <v>0.6146091739035221</v>
      </c>
      <c r="GY9" s="89">
        <f t="shared" si="80"/>
        <v>282313</v>
      </c>
      <c r="GZ9" s="89">
        <v>13946</v>
      </c>
      <c r="HA9" s="89">
        <v>11896</v>
      </c>
      <c r="HB9" s="89">
        <v>2050</v>
      </c>
      <c r="HC9" s="91">
        <f t="shared" si="81"/>
        <v>0.73145581114881375</v>
      </c>
      <c r="HD9" s="89">
        <f t="shared" si="82"/>
        <v>283285</v>
      </c>
      <c r="HE9" s="89">
        <v>13639</v>
      </c>
      <c r="HF9" s="89">
        <v>12667</v>
      </c>
      <c r="HG9" s="89">
        <v>972</v>
      </c>
      <c r="HH9" s="91">
        <f t="shared" si="83"/>
        <v>0.34429870392082546</v>
      </c>
      <c r="HI9" s="89">
        <f t="shared" si="84"/>
        <v>285224</v>
      </c>
      <c r="HJ9" s="89">
        <v>14539</v>
      </c>
      <c r="HK9" s="89">
        <v>12600</v>
      </c>
      <c r="HL9" s="89">
        <v>1939</v>
      </c>
      <c r="HM9" s="91">
        <f t="shared" si="85"/>
        <v>0.68446970365532944</v>
      </c>
      <c r="HN9" s="89">
        <f t="shared" si="86"/>
        <v>286589</v>
      </c>
      <c r="HO9" s="89">
        <v>13191</v>
      </c>
      <c r="HP9" s="89">
        <v>11826</v>
      </c>
      <c r="HQ9" s="89">
        <v>1365</v>
      </c>
      <c r="HR9" s="91">
        <f t="shared" si="87"/>
        <v>0.47857122822763865</v>
      </c>
      <c r="HS9" s="89">
        <f t="shared" si="88"/>
        <v>286993</v>
      </c>
      <c r="HT9" s="89">
        <v>12536</v>
      </c>
      <c r="HU9" s="89">
        <v>12132</v>
      </c>
      <c r="HV9" s="90">
        <v>404</v>
      </c>
      <c r="HW9" s="91">
        <f t="shared" si="89"/>
        <v>0.14096842516635322</v>
      </c>
      <c r="HX9" s="89">
        <f t="shared" si="90"/>
        <v>287509</v>
      </c>
      <c r="HY9" s="89">
        <v>12161</v>
      </c>
      <c r="HZ9" s="89">
        <v>11645</v>
      </c>
      <c r="IA9" s="90">
        <v>516</v>
      </c>
      <c r="IB9" s="91">
        <f t="shared" si="91"/>
        <v>0.17979532601840464</v>
      </c>
      <c r="IC9" s="89">
        <v>285303</v>
      </c>
      <c r="ID9" s="89">
        <v>9251</v>
      </c>
      <c r="IE9" s="89">
        <v>11457</v>
      </c>
      <c r="IF9" s="89">
        <v>-2206</v>
      </c>
      <c r="IG9" s="91">
        <f>(IF9/HX9)*100</f>
        <v>-0.76728032861579987</v>
      </c>
      <c r="IH9" s="89">
        <f>SUM(IC9+IK9)</f>
        <v>285492</v>
      </c>
      <c r="II9" s="89">
        <v>13394</v>
      </c>
      <c r="IJ9" s="89">
        <v>13205</v>
      </c>
      <c r="IK9" s="89">
        <v>189</v>
      </c>
      <c r="IL9" s="91">
        <f t="shared" si="92"/>
        <v>6.6245360196002148E-2</v>
      </c>
      <c r="IM9" s="89">
        <f>SUM(IH9+IP9)</f>
        <v>288029</v>
      </c>
      <c r="IN9" s="89">
        <v>15857</v>
      </c>
      <c r="IO9" s="89">
        <v>13320</v>
      </c>
      <c r="IP9" s="89">
        <v>2537</v>
      </c>
      <c r="IQ9" s="91">
        <f t="shared" si="93"/>
        <v>0.88864136298039875</v>
      </c>
      <c r="IR9" s="89">
        <f>SUM(IM9+IU9)</f>
        <v>289424</v>
      </c>
      <c r="IS9" s="89">
        <v>14429</v>
      </c>
      <c r="IT9" s="89">
        <v>13034</v>
      </c>
      <c r="IU9" s="89">
        <v>1395</v>
      </c>
      <c r="IV9" s="91">
        <f t="shared" si="94"/>
        <v>0.48432623103923561</v>
      </c>
      <c r="IW9" s="89">
        <f>SUM(IR9+IZ9)</f>
        <v>290148</v>
      </c>
      <c r="IX9" s="89">
        <v>14301</v>
      </c>
      <c r="IY9" s="89">
        <v>13577</v>
      </c>
      <c r="IZ9" s="89">
        <v>724</v>
      </c>
      <c r="JA9" s="91">
        <f t="shared" si="95"/>
        <v>0.2501520260932058</v>
      </c>
      <c r="JB9" s="89">
        <f>SUM(IW9+JE9)</f>
        <v>290906</v>
      </c>
      <c r="JC9" s="89">
        <v>13672</v>
      </c>
      <c r="JD9" s="89">
        <v>12914</v>
      </c>
      <c r="JE9" s="89">
        <v>758</v>
      </c>
      <c r="JF9" s="91">
        <f t="shared" si="96"/>
        <v>0.2612459848077533</v>
      </c>
      <c r="JG9" s="89">
        <f>SUM(JB9+JJ9)</f>
        <v>292330</v>
      </c>
      <c r="JH9" s="89">
        <v>14024</v>
      </c>
      <c r="JI9" s="89">
        <v>12600</v>
      </c>
      <c r="JJ9" s="89">
        <v>1424</v>
      </c>
      <c r="JK9" s="91">
        <f t="shared" si="97"/>
        <v>0.48950520099276051</v>
      </c>
      <c r="JL9" s="89">
        <f>SUM(JG9+JO9)</f>
        <v>294641</v>
      </c>
      <c r="JM9" s="89">
        <v>15915</v>
      </c>
      <c r="JN9" s="89">
        <v>13604</v>
      </c>
      <c r="JO9" s="89">
        <v>2311</v>
      </c>
      <c r="JP9" s="91">
        <f t="shared" si="98"/>
        <v>0.79054493209728738</v>
      </c>
      <c r="JQ9" s="89">
        <f t="shared" si="99"/>
        <v>295849</v>
      </c>
      <c r="JR9" s="89">
        <v>14658</v>
      </c>
      <c r="JS9" s="89">
        <v>13450</v>
      </c>
      <c r="JT9" s="89">
        <v>1208</v>
      </c>
      <c r="JU9" s="91">
        <f t="shared" si="100"/>
        <v>0.40999046297019082</v>
      </c>
      <c r="JV9" s="89">
        <f t="shared" si="101"/>
        <v>296448</v>
      </c>
      <c r="JW9" s="89">
        <v>13147</v>
      </c>
      <c r="JX9" s="89">
        <v>12548</v>
      </c>
      <c r="JY9" s="89">
        <v>599</v>
      </c>
      <c r="JZ9" s="91">
        <f t="shared" si="102"/>
        <v>0.20246815098242682</v>
      </c>
      <c r="KA9" s="89">
        <f t="shared" si="103"/>
        <v>296605</v>
      </c>
      <c r="KB9" s="89">
        <v>13529</v>
      </c>
      <c r="KC9" s="89">
        <v>13372</v>
      </c>
      <c r="KD9" s="89">
        <v>157</v>
      </c>
      <c r="KE9" s="91">
        <f t="shared" si="104"/>
        <v>5.2960384283246974E-2</v>
      </c>
      <c r="KF9" s="89">
        <f t="shared" si="105"/>
        <v>296290</v>
      </c>
      <c r="KG9" s="89">
        <v>11952</v>
      </c>
      <c r="KH9" s="89">
        <v>12267</v>
      </c>
      <c r="KI9" s="89">
        <v>-315</v>
      </c>
      <c r="KJ9" s="91">
        <f t="shared" si="106"/>
        <v>-0.10620185094654506</v>
      </c>
      <c r="KK9" s="89">
        <f t="shared" si="107"/>
        <v>293990</v>
      </c>
      <c r="KL9" s="89">
        <v>9665</v>
      </c>
      <c r="KM9" s="89">
        <v>11965</v>
      </c>
      <c r="KN9" s="89">
        <v>-2300</v>
      </c>
      <c r="KO9" s="91">
        <f t="shared" si="108"/>
        <v>-0.77626649566303285</v>
      </c>
      <c r="KP9" s="89">
        <f t="shared" si="109"/>
        <v>294018</v>
      </c>
      <c r="KQ9" s="89">
        <v>13957</v>
      </c>
      <c r="KR9" s="89">
        <v>13929</v>
      </c>
      <c r="KS9" s="89">
        <v>28</v>
      </c>
      <c r="KT9" s="91">
        <f t="shared" si="110"/>
        <v>9.5241334739276842E-3</v>
      </c>
      <c r="KU9" s="89">
        <f t="shared" si="111"/>
        <v>297164</v>
      </c>
      <c r="KV9" s="89">
        <v>16796</v>
      </c>
      <c r="KW9" s="89">
        <v>13650</v>
      </c>
      <c r="KX9" s="89">
        <v>3146</v>
      </c>
      <c r="KY9" s="91">
        <f t="shared" si="112"/>
        <v>1.0700025168527096</v>
      </c>
      <c r="KZ9" s="89">
        <f t="shared" si="113"/>
        <v>298266</v>
      </c>
      <c r="LA9" s="89">
        <v>15090</v>
      </c>
      <c r="LB9" s="89">
        <v>13988</v>
      </c>
      <c r="LC9" s="89">
        <v>1102</v>
      </c>
      <c r="LD9" s="91">
        <f t="shared" si="114"/>
        <v>0.37083899799437348</v>
      </c>
      <c r="LE9" s="89">
        <f t="shared" si="115"/>
        <v>299383</v>
      </c>
      <c r="LF9" s="89">
        <v>14249</v>
      </c>
      <c r="LG9" s="89">
        <v>13132</v>
      </c>
      <c r="LH9" s="89">
        <v>1117</v>
      </c>
      <c r="LI9" s="91">
        <f t="shared" si="116"/>
        <v>0.37449793137669057</v>
      </c>
      <c r="LJ9" s="89">
        <f t="shared" si="117"/>
        <v>300265</v>
      </c>
      <c r="LK9" s="89">
        <v>14650</v>
      </c>
      <c r="LL9" s="89">
        <v>13768</v>
      </c>
      <c r="LM9" s="89">
        <v>882</v>
      </c>
      <c r="LN9" s="91">
        <f t="shared" si="118"/>
        <v>0.29460590614697557</v>
      </c>
      <c r="LO9" s="89">
        <f t="shared" si="119"/>
        <v>301390</v>
      </c>
      <c r="LP9" s="89">
        <v>14319</v>
      </c>
      <c r="LQ9" s="89">
        <v>13194</v>
      </c>
      <c r="LR9" s="89">
        <v>1125</v>
      </c>
      <c r="LS9" s="91">
        <f t="shared" si="120"/>
        <v>0.37466904234592774</v>
      </c>
      <c r="LT9" s="89">
        <f t="shared" si="121"/>
        <v>302657</v>
      </c>
      <c r="LU9" s="89">
        <v>15667</v>
      </c>
      <c r="LV9" s="89">
        <v>14400</v>
      </c>
      <c r="LW9" s="89">
        <v>1267</v>
      </c>
      <c r="LX9" s="91">
        <f t="shared" si="122"/>
        <v>0.42038554696572544</v>
      </c>
      <c r="LY9" s="89">
        <f t="shared" si="123"/>
        <v>303934</v>
      </c>
      <c r="LZ9" s="89">
        <v>14574</v>
      </c>
      <c r="MA9" s="89">
        <v>13297</v>
      </c>
      <c r="MB9" s="89">
        <v>1277</v>
      </c>
      <c r="MC9" s="91">
        <f t="shared" si="124"/>
        <v>0.42192977529017994</v>
      </c>
      <c r="MD9" s="89">
        <f t="shared" si="125"/>
        <v>305105</v>
      </c>
      <c r="ME9" s="89">
        <v>15140</v>
      </c>
      <c r="MF9" s="89">
        <v>13969</v>
      </c>
      <c r="MG9" s="89">
        <v>1171</v>
      </c>
      <c r="MH9" s="91">
        <f t="shared" si="126"/>
        <v>0.38528101495719469</v>
      </c>
      <c r="MI9" s="89">
        <f t="shared" si="127"/>
        <v>305629</v>
      </c>
      <c r="MJ9" s="89">
        <v>14718</v>
      </c>
      <c r="MK9" s="89">
        <v>14194</v>
      </c>
      <c r="ML9" s="89">
        <v>524</v>
      </c>
      <c r="MM9" s="91">
        <f t="shared" si="9"/>
        <v>0.17174415365202145</v>
      </c>
      <c r="MN9" s="89">
        <f t="shared" si="10"/>
        <v>305797</v>
      </c>
      <c r="MO9" s="89">
        <v>12662</v>
      </c>
      <c r="MP9" s="89">
        <v>12494</v>
      </c>
      <c r="MQ9" s="89">
        <v>168</v>
      </c>
      <c r="MR9" s="91">
        <f t="shared" si="11"/>
        <v>5.4968605727859589E-2</v>
      </c>
      <c r="MS9" s="89">
        <f t="shared" si="12"/>
        <v>303457</v>
      </c>
      <c r="MT9" s="89">
        <v>10049</v>
      </c>
      <c r="MU9" s="89">
        <v>12389</v>
      </c>
      <c r="MV9" s="89">
        <v>-2340</v>
      </c>
      <c r="MW9" s="91">
        <f t="shared" si="13"/>
        <v>-0.76521352400448661</v>
      </c>
      <c r="MX9" s="89">
        <f t="shared" ref="MX9:MX10" si="142">MS9+NA9</f>
        <v>303121</v>
      </c>
      <c r="MY9" s="89">
        <v>14412</v>
      </c>
      <c r="MZ9" s="89">
        <v>14748</v>
      </c>
      <c r="NA9" s="89">
        <v>-336</v>
      </c>
      <c r="NB9" s="104">
        <v>-0.110087052</v>
      </c>
      <c r="NC9" s="89">
        <f t="shared" ref="NC9:NC10" si="143">MX9+NF9</f>
        <v>304911</v>
      </c>
      <c r="ND9" s="89">
        <v>15911</v>
      </c>
      <c r="NE9" s="89">
        <v>14121</v>
      </c>
      <c r="NF9" s="89">
        <v>1790</v>
      </c>
      <c r="NG9" s="104">
        <f t="shared" si="14"/>
        <v>0.58705655092797571</v>
      </c>
      <c r="NH9" s="89">
        <f t="shared" ref="NH9:NH10" si="144">NC9+NK9</f>
        <v>305465</v>
      </c>
      <c r="NI9" s="89">
        <v>16050</v>
      </c>
      <c r="NJ9" s="89">
        <v>15496</v>
      </c>
      <c r="NK9" s="89">
        <v>554</v>
      </c>
      <c r="NL9" s="104">
        <f t="shared" si="15"/>
        <v>0.18136284025993157</v>
      </c>
      <c r="NM9" s="89">
        <f t="shared" si="128"/>
        <v>46373</v>
      </c>
      <c r="NN9" s="89">
        <f t="shared" si="16"/>
        <v>44365</v>
      </c>
      <c r="NO9" s="89">
        <f t="shared" si="16"/>
        <v>2008</v>
      </c>
      <c r="NP9" s="104">
        <f t="shared" si="129"/>
        <v>0.66170824861512501</v>
      </c>
      <c r="NQ9" s="89">
        <f t="shared" si="130"/>
        <v>172401</v>
      </c>
      <c r="NR9" s="89">
        <f t="shared" si="17"/>
        <v>165202</v>
      </c>
      <c r="NS9" s="89">
        <f t="shared" si="17"/>
        <v>7199</v>
      </c>
      <c r="NT9" s="104">
        <f t="shared" si="131"/>
        <v>2.4136173750947143</v>
      </c>
      <c r="NU9" s="41"/>
      <c r="NW9" s="48"/>
      <c r="NX9" s="48"/>
      <c r="NY9" s="48"/>
    </row>
    <row r="10" spans="1:389" ht="31.5" customHeight="1">
      <c r="A10" s="41"/>
      <c r="B10" s="88" t="s">
        <v>16</v>
      </c>
      <c r="C10" s="89">
        <f t="shared" si="18"/>
        <v>78660</v>
      </c>
      <c r="D10" s="89">
        <v>2583</v>
      </c>
      <c r="E10" s="89">
        <v>2396</v>
      </c>
      <c r="F10" s="90">
        <v>187</v>
      </c>
      <c r="G10" s="89">
        <f t="shared" si="19"/>
        <v>79528</v>
      </c>
      <c r="H10" s="89">
        <v>2751</v>
      </c>
      <c r="I10" s="89">
        <v>1883</v>
      </c>
      <c r="J10" s="90">
        <v>868</v>
      </c>
      <c r="K10" s="91">
        <f t="shared" si="0"/>
        <v>1.103483346046275</v>
      </c>
      <c r="L10" s="89">
        <f t="shared" si="20"/>
        <v>79596</v>
      </c>
      <c r="M10" s="89">
        <v>2433</v>
      </c>
      <c r="N10" s="89">
        <v>2365</v>
      </c>
      <c r="O10" s="90">
        <v>68</v>
      </c>
      <c r="P10" s="91">
        <f t="shared" si="132"/>
        <v>8.5504476410823857E-2</v>
      </c>
      <c r="Q10" s="89">
        <f t="shared" si="21"/>
        <v>79315</v>
      </c>
      <c r="R10" s="89">
        <v>1646</v>
      </c>
      <c r="S10" s="89">
        <v>1927</v>
      </c>
      <c r="T10" s="90">
        <v>-281</v>
      </c>
      <c r="U10" s="91">
        <f t="shared" si="133"/>
        <v>-0.35303281571938289</v>
      </c>
      <c r="V10" s="89">
        <f t="shared" si="22"/>
        <v>79427</v>
      </c>
      <c r="W10" s="89">
        <v>1572</v>
      </c>
      <c r="X10" s="89">
        <v>1460</v>
      </c>
      <c r="Y10" s="90">
        <v>112</v>
      </c>
      <c r="Z10" s="91">
        <f t="shared" si="134"/>
        <v>0.14120910294395764</v>
      </c>
      <c r="AA10" s="89">
        <f t="shared" si="23"/>
        <v>79614</v>
      </c>
      <c r="AB10" s="89">
        <v>1693</v>
      </c>
      <c r="AC10" s="89">
        <v>1506</v>
      </c>
      <c r="AD10" s="90">
        <v>187</v>
      </c>
      <c r="AE10" s="91">
        <f t="shared" si="135"/>
        <v>0.23543631258891815</v>
      </c>
      <c r="AF10" s="89">
        <f t="shared" si="24"/>
        <v>80034</v>
      </c>
      <c r="AG10" s="89">
        <v>2020</v>
      </c>
      <c r="AH10" s="89">
        <v>1600</v>
      </c>
      <c r="AI10" s="90">
        <v>420</v>
      </c>
      <c r="AJ10" s="91">
        <f t="shared" si="136"/>
        <v>0.52754540658678117</v>
      </c>
      <c r="AK10" s="89">
        <f t="shared" si="25"/>
        <v>80930</v>
      </c>
      <c r="AL10" s="89">
        <v>2614</v>
      </c>
      <c r="AM10" s="89">
        <v>1718</v>
      </c>
      <c r="AN10" s="90">
        <v>896</v>
      </c>
      <c r="AO10" s="91">
        <f t="shared" si="137"/>
        <v>1.119524202214059</v>
      </c>
      <c r="AP10" s="89">
        <f t="shared" si="26"/>
        <v>81503</v>
      </c>
      <c r="AQ10" s="89">
        <v>2308</v>
      </c>
      <c r="AR10" s="89">
        <v>1735</v>
      </c>
      <c r="AS10" s="90">
        <v>573</v>
      </c>
      <c r="AT10" s="91">
        <f t="shared" si="138"/>
        <v>0.7080192759174595</v>
      </c>
      <c r="AU10" s="89">
        <f t="shared" si="27"/>
        <v>82300</v>
      </c>
      <c r="AV10" s="89">
        <v>2645</v>
      </c>
      <c r="AW10" s="89">
        <v>1848</v>
      </c>
      <c r="AX10" s="90">
        <v>797</v>
      </c>
      <c r="AY10" s="91">
        <f t="shared" si="139"/>
        <v>0.97787811491601528</v>
      </c>
      <c r="AZ10" s="89">
        <f t="shared" si="28"/>
        <v>83094</v>
      </c>
      <c r="BA10" s="89">
        <v>2412</v>
      </c>
      <c r="BB10" s="89">
        <v>1618</v>
      </c>
      <c r="BC10" s="90">
        <v>794</v>
      </c>
      <c r="BD10" s="91">
        <f t="shared" si="140"/>
        <v>0.96476306196840822</v>
      </c>
      <c r="BE10" s="89">
        <f t="shared" si="29"/>
        <v>83042</v>
      </c>
      <c r="BF10" s="89">
        <v>1785</v>
      </c>
      <c r="BG10" s="89">
        <v>1837</v>
      </c>
      <c r="BH10" s="90">
        <v>-52</v>
      </c>
      <c r="BI10" s="91">
        <f t="shared" si="141"/>
        <v>-6.257972898163526E-2</v>
      </c>
      <c r="BJ10" s="89">
        <f t="shared" si="30"/>
        <v>83537</v>
      </c>
      <c r="BK10" s="89">
        <v>2485</v>
      </c>
      <c r="BL10" s="89">
        <v>1990</v>
      </c>
      <c r="BM10" s="90">
        <v>495</v>
      </c>
      <c r="BN10" s="91">
        <f t="shared" si="31"/>
        <v>0.59608390934707733</v>
      </c>
      <c r="BO10" s="89">
        <f t="shared" si="32"/>
        <v>84606</v>
      </c>
      <c r="BP10" s="89">
        <v>3101</v>
      </c>
      <c r="BQ10" s="89">
        <v>2032</v>
      </c>
      <c r="BR10" s="90">
        <v>1069</v>
      </c>
      <c r="BS10" s="91">
        <f t="shared" si="33"/>
        <v>1.2796724804577613</v>
      </c>
      <c r="BT10" s="89">
        <f t="shared" si="34"/>
        <v>84879</v>
      </c>
      <c r="BU10" s="89">
        <v>2551</v>
      </c>
      <c r="BV10" s="89">
        <v>2278</v>
      </c>
      <c r="BW10" s="90">
        <v>273</v>
      </c>
      <c r="BX10" s="91">
        <f t="shared" si="35"/>
        <v>0.32267215091128287</v>
      </c>
      <c r="BY10" s="89">
        <f t="shared" si="36"/>
        <v>85450</v>
      </c>
      <c r="BZ10" s="89">
        <v>2720</v>
      </c>
      <c r="CA10" s="89">
        <v>2149</v>
      </c>
      <c r="CB10" s="90">
        <v>571</v>
      </c>
      <c r="CC10" s="91">
        <f t="shared" si="37"/>
        <v>0.6727223459277325</v>
      </c>
      <c r="CD10" s="89">
        <f t="shared" si="38"/>
        <v>87064</v>
      </c>
      <c r="CE10" s="89">
        <v>3847</v>
      </c>
      <c r="CF10" s="89">
        <v>2233</v>
      </c>
      <c r="CG10" s="89">
        <v>1614</v>
      </c>
      <c r="CH10" s="91">
        <f t="shared" si="39"/>
        <v>1.8888238736102987</v>
      </c>
      <c r="CI10" s="89">
        <f t="shared" si="40"/>
        <v>88091</v>
      </c>
      <c r="CJ10" s="89">
        <v>3196</v>
      </c>
      <c r="CK10" s="89">
        <v>2169</v>
      </c>
      <c r="CL10" s="89">
        <v>1027</v>
      </c>
      <c r="CM10" s="91">
        <f t="shared" si="41"/>
        <v>1.1795920242580171</v>
      </c>
      <c r="CN10" s="89">
        <f t="shared" si="42"/>
        <v>88963</v>
      </c>
      <c r="CO10" s="89">
        <v>3485</v>
      </c>
      <c r="CP10" s="89">
        <v>2613</v>
      </c>
      <c r="CQ10" s="90">
        <v>872</v>
      </c>
      <c r="CR10" s="91">
        <f t="shared" si="43"/>
        <v>0.98988545935453109</v>
      </c>
      <c r="CS10" s="89">
        <f t="shared" si="44"/>
        <v>89350</v>
      </c>
      <c r="CT10" s="89">
        <v>3417</v>
      </c>
      <c r="CU10" s="89">
        <v>3030</v>
      </c>
      <c r="CV10" s="90">
        <v>387</v>
      </c>
      <c r="CW10" s="91">
        <f t="shared" si="45"/>
        <v>0.43501230848779832</v>
      </c>
      <c r="CX10" s="89">
        <f t="shared" si="46"/>
        <v>90467</v>
      </c>
      <c r="CY10" s="89">
        <v>4311</v>
      </c>
      <c r="CZ10" s="89">
        <v>3194</v>
      </c>
      <c r="DA10" s="89">
        <v>1117</v>
      </c>
      <c r="DB10" s="91">
        <f t="shared" si="47"/>
        <v>1.2501398992725237</v>
      </c>
      <c r="DC10" s="89">
        <f t="shared" si="48"/>
        <v>91512</v>
      </c>
      <c r="DD10" s="89">
        <v>3834</v>
      </c>
      <c r="DE10" s="89">
        <v>2789</v>
      </c>
      <c r="DF10" s="90">
        <v>1045</v>
      </c>
      <c r="DG10" s="91">
        <f t="shared" si="49"/>
        <v>1.1551173356030375</v>
      </c>
      <c r="DH10" s="89">
        <f t="shared" si="50"/>
        <v>92477</v>
      </c>
      <c r="DI10" s="89">
        <v>3577</v>
      </c>
      <c r="DJ10" s="89">
        <v>2612</v>
      </c>
      <c r="DK10" s="90">
        <v>965</v>
      </c>
      <c r="DL10" s="91">
        <f t="shared" si="51"/>
        <v>1.0545065128070634</v>
      </c>
      <c r="DM10" s="89">
        <f t="shared" si="52"/>
        <v>92230</v>
      </c>
      <c r="DN10" s="89">
        <v>2633</v>
      </c>
      <c r="DO10" s="89">
        <v>2880</v>
      </c>
      <c r="DP10" s="90">
        <v>-247</v>
      </c>
      <c r="DQ10" s="91">
        <f t="shared" si="53"/>
        <v>-0.26709343944980918</v>
      </c>
      <c r="DR10" s="89">
        <f t="shared" si="54"/>
        <v>92458</v>
      </c>
      <c r="DS10" s="89">
        <v>3356</v>
      </c>
      <c r="DT10" s="89">
        <v>3128</v>
      </c>
      <c r="DU10" s="90">
        <v>228</v>
      </c>
      <c r="DV10" s="91">
        <f t="shared" si="55"/>
        <v>0.24720806678954788</v>
      </c>
      <c r="DW10" s="89">
        <f t="shared" si="56"/>
        <v>93171</v>
      </c>
      <c r="DX10" s="89">
        <v>4025</v>
      </c>
      <c r="DY10" s="89">
        <v>3312</v>
      </c>
      <c r="DZ10" s="90">
        <v>713</v>
      </c>
      <c r="EA10" s="91">
        <f t="shared" si="57"/>
        <v>0.77116095957083219</v>
      </c>
      <c r="EB10" s="89">
        <f t="shared" si="58"/>
        <v>93937</v>
      </c>
      <c r="EC10" s="89">
        <v>4161</v>
      </c>
      <c r="ED10" s="89">
        <v>3395</v>
      </c>
      <c r="EE10" s="90">
        <v>766</v>
      </c>
      <c r="EF10" s="91">
        <f t="shared" si="59"/>
        <v>0.82214422942761167</v>
      </c>
      <c r="EG10" s="89">
        <f t="shared" si="60"/>
        <v>94737</v>
      </c>
      <c r="EH10" s="89">
        <v>3986</v>
      </c>
      <c r="EI10" s="89">
        <v>3186</v>
      </c>
      <c r="EJ10" s="90">
        <v>800</v>
      </c>
      <c r="EK10" s="91">
        <f t="shared" si="61"/>
        <v>0.85163460617222186</v>
      </c>
      <c r="EL10" s="89">
        <f t="shared" si="62"/>
        <v>95644</v>
      </c>
      <c r="EM10" s="89">
        <v>4830</v>
      </c>
      <c r="EN10" s="89">
        <v>3923</v>
      </c>
      <c r="EO10" s="90">
        <v>907</v>
      </c>
      <c r="EP10" s="91">
        <f t="shared" si="63"/>
        <v>0.95738729324340022</v>
      </c>
      <c r="EQ10" s="89">
        <f t="shared" si="64"/>
        <v>96828</v>
      </c>
      <c r="ER10" s="89">
        <v>4780</v>
      </c>
      <c r="ES10" s="89">
        <v>3596</v>
      </c>
      <c r="ET10" s="89">
        <v>1184</v>
      </c>
      <c r="EU10" s="91">
        <f t="shared" si="65"/>
        <v>1.2379239680481788</v>
      </c>
      <c r="EV10" s="89">
        <f t="shared" si="66"/>
        <v>97854</v>
      </c>
      <c r="EW10" s="89">
        <v>4896</v>
      </c>
      <c r="EX10" s="89">
        <v>3870</v>
      </c>
      <c r="EY10" s="89">
        <v>1026</v>
      </c>
      <c r="EZ10" s="91">
        <f t="shared" si="67"/>
        <v>1.0596108563638618</v>
      </c>
      <c r="FA10" s="89">
        <f t="shared" si="68"/>
        <v>98719</v>
      </c>
      <c r="FB10" s="89">
        <v>4477</v>
      </c>
      <c r="FC10" s="89">
        <v>3612</v>
      </c>
      <c r="FD10" s="89">
        <v>865</v>
      </c>
      <c r="FE10" s="91">
        <f t="shared" si="1"/>
        <v>0.88396999611666349</v>
      </c>
      <c r="FF10" s="89">
        <f t="shared" si="69"/>
        <v>99480</v>
      </c>
      <c r="FG10" s="89">
        <v>3799</v>
      </c>
      <c r="FH10" s="89">
        <v>3038</v>
      </c>
      <c r="FI10" s="90">
        <v>761</v>
      </c>
      <c r="FJ10" s="91">
        <f t="shared" si="2"/>
        <v>0.77087490756591937</v>
      </c>
      <c r="FK10" s="89">
        <f t="shared" si="70"/>
        <v>100155</v>
      </c>
      <c r="FL10" s="89">
        <v>3850</v>
      </c>
      <c r="FM10" s="89">
        <v>3175</v>
      </c>
      <c r="FN10" s="90">
        <v>675</v>
      </c>
      <c r="FO10" s="91">
        <f t="shared" si="3"/>
        <v>0.6785283474065138</v>
      </c>
      <c r="FP10" s="89">
        <f t="shared" si="71"/>
        <v>100616</v>
      </c>
      <c r="FQ10" s="89">
        <v>3540</v>
      </c>
      <c r="FR10" s="89">
        <v>3079</v>
      </c>
      <c r="FS10" s="90">
        <v>461</v>
      </c>
      <c r="FT10" s="91">
        <f t="shared" si="4"/>
        <v>0.46028655583845041</v>
      </c>
      <c r="FU10" s="89">
        <f t="shared" si="72"/>
        <v>99815</v>
      </c>
      <c r="FV10" s="89">
        <v>2366</v>
      </c>
      <c r="FW10" s="89">
        <v>3167</v>
      </c>
      <c r="FX10" s="90">
        <v>-801</v>
      </c>
      <c r="FY10" s="91">
        <f t="shared" si="5"/>
        <v>-0.79609604834221193</v>
      </c>
      <c r="FZ10" s="89">
        <f t="shared" si="73"/>
        <v>99167</v>
      </c>
      <c r="GA10" s="89">
        <v>3641</v>
      </c>
      <c r="GB10" s="89">
        <v>4289</v>
      </c>
      <c r="GC10" s="90">
        <v>-648</v>
      </c>
      <c r="GD10" s="91">
        <f t="shared" si="6"/>
        <v>-0.64920102189049744</v>
      </c>
      <c r="GE10" s="89">
        <f t="shared" si="74"/>
        <v>99979</v>
      </c>
      <c r="GF10" s="89">
        <v>4176</v>
      </c>
      <c r="GG10" s="89">
        <v>3364</v>
      </c>
      <c r="GH10" s="90">
        <v>812</v>
      </c>
      <c r="GI10" s="91">
        <f t="shared" si="7"/>
        <v>0.81882077707301826</v>
      </c>
      <c r="GJ10" s="89">
        <f t="shared" si="75"/>
        <v>100545</v>
      </c>
      <c r="GK10" s="89">
        <v>4738</v>
      </c>
      <c r="GL10" s="89">
        <v>4172</v>
      </c>
      <c r="GM10" s="90">
        <v>566</v>
      </c>
      <c r="GN10" s="91">
        <f t="shared" si="8"/>
        <v>0.56611888496584284</v>
      </c>
      <c r="GO10" s="89">
        <f t="shared" si="76"/>
        <v>100701</v>
      </c>
      <c r="GP10" s="89">
        <v>3659</v>
      </c>
      <c r="GQ10" s="89">
        <v>3503</v>
      </c>
      <c r="GR10" s="90">
        <v>156</v>
      </c>
      <c r="GS10" s="91">
        <f t="shared" si="77"/>
        <v>0.1551544084738177</v>
      </c>
      <c r="GT10" s="89">
        <f t="shared" si="78"/>
        <v>101263</v>
      </c>
      <c r="GU10" s="89">
        <v>4508</v>
      </c>
      <c r="GV10" s="89">
        <v>3946</v>
      </c>
      <c r="GW10" s="90">
        <v>562</v>
      </c>
      <c r="GX10" s="91">
        <f t="shared" si="79"/>
        <v>0.55808780449052142</v>
      </c>
      <c r="GY10" s="89">
        <f t="shared" si="80"/>
        <v>102281</v>
      </c>
      <c r="GZ10" s="89">
        <v>4401</v>
      </c>
      <c r="HA10" s="89">
        <v>3383</v>
      </c>
      <c r="HB10" s="89">
        <v>1018</v>
      </c>
      <c r="HC10" s="91">
        <f t="shared" si="81"/>
        <v>1.005303022821761</v>
      </c>
      <c r="HD10" s="89">
        <f t="shared" si="82"/>
        <v>103022</v>
      </c>
      <c r="HE10" s="89">
        <v>4213</v>
      </c>
      <c r="HF10" s="89">
        <v>3472</v>
      </c>
      <c r="HG10" s="90">
        <v>741</v>
      </c>
      <c r="HH10" s="91">
        <f t="shared" si="83"/>
        <v>0.72447473137728413</v>
      </c>
      <c r="HI10" s="89">
        <f t="shared" si="84"/>
        <v>103470</v>
      </c>
      <c r="HJ10" s="89">
        <v>4406</v>
      </c>
      <c r="HK10" s="89">
        <v>3958</v>
      </c>
      <c r="HL10" s="90">
        <v>448</v>
      </c>
      <c r="HM10" s="91">
        <f t="shared" si="85"/>
        <v>0.43485857389683757</v>
      </c>
      <c r="HN10" s="89">
        <f t="shared" si="86"/>
        <v>103830</v>
      </c>
      <c r="HO10" s="89">
        <v>3804</v>
      </c>
      <c r="HP10" s="89">
        <v>3444</v>
      </c>
      <c r="HQ10" s="90">
        <v>360</v>
      </c>
      <c r="HR10" s="91">
        <f t="shared" si="87"/>
        <v>0.34792693534357788</v>
      </c>
      <c r="HS10" s="89">
        <f t="shared" si="88"/>
        <v>103957</v>
      </c>
      <c r="HT10" s="89">
        <v>3915</v>
      </c>
      <c r="HU10" s="89">
        <v>3788</v>
      </c>
      <c r="HV10" s="90">
        <v>127</v>
      </c>
      <c r="HW10" s="91">
        <f t="shared" si="89"/>
        <v>0.12231532312433786</v>
      </c>
      <c r="HX10" s="89">
        <f t="shared" si="90"/>
        <v>104200</v>
      </c>
      <c r="HY10" s="89">
        <v>3790</v>
      </c>
      <c r="HZ10" s="89">
        <v>3547</v>
      </c>
      <c r="IA10" s="90">
        <v>243</v>
      </c>
      <c r="IB10" s="91">
        <f t="shared" si="91"/>
        <v>0.23375049299229489</v>
      </c>
      <c r="IC10" s="89">
        <v>103836</v>
      </c>
      <c r="ID10" s="89">
        <v>3461</v>
      </c>
      <c r="IE10" s="89">
        <v>3825</v>
      </c>
      <c r="IF10" s="90">
        <v>-364</v>
      </c>
      <c r="IG10" s="91">
        <f t="shared" ref="IG10" si="145">(IF10/HX10)*100</f>
        <v>-0.34932821497120919</v>
      </c>
      <c r="IH10" s="89">
        <f t="shared" ref="IH10" si="146">SUM(IC10+IK10)</f>
        <v>103803</v>
      </c>
      <c r="II10" s="89">
        <v>3939</v>
      </c>
      <c r="IJ10" s="89">
        <v>3972</v>
      </c>
      <c r="IK10" s="90">
        <v>-33</v>
      </c>
      <c r="IL10" s="91">
        <f t="shared" si="92"/>
        <v>-3.1780885242112568E-2</v>
      </c>
      <c r="IM10" s="89">
        <f t="shared" ref="IM10" si="147">SUM(IH10+IP10)</f>
        <v>104656</v>
      </c>
      <c r="IN10" s="89">
        <v>4798</v>
      </c>
      <c r="IO10" s="89">
        <v>3945</v>
      </c>
      <c r="IP10" s="90">
        <v>853</v>
      </c>
      <c r="IQ10" s="91">
        <f t="shared" si="93"/>
        <v>0.82174888972380378</v>
      </c>
      <c r="IR10" s="89">
        <f t="shared" ref="IR10" si="148">SUM(IM10+IU10)</f>
        <v>105839</v>
      </c>
      <c r="IS10" s="89">
        <v>5003</v>
      </c>
      <c r="IT10" s="89">
        <v>3820</v>
      </c>
      <c r="IU10" s="90">
        <v>1183</v>
      </c>
      <c r="IV10" s="91">
        <f t="shared" si="94"/>
        <v>1.1303699740100903</v>
      </c>
      <c r="IW10" s="89">
        <f t="shared" ref="IW10" si="149">SUM(IR10+IZ10)</f>
        <v>107106</v>
      </c>
      <c r="IX10" s="89">
        <v>5094</v>
      </c>
      <c r="IY10" s="89">
        <v>3827</v>
      </c>
      <c r="IZ10" s="90">
        <v>1267</v>
      </c>
      <c r="JA10" s="91">
        <f t="shared" si="95"/>
        <v>1.1971012575704609</v>
      </c>
      <c r="JB10" s="89">
        <f t="shared" ref="JB10" si="150">SUM(IW10+JE10)</f>
        <v>108030</v>
      </c>
      <c r="JC10" s="89">
        <v>4710</v>
      </c>
      <c r="JD10" s="89">
        <v>3786</v>
      </c>
      <c r="JE10" s="90">
        <v>924</v>
      </c>
      <c r="JF10" s="91">
        <f t="shared" si="96"/>
        <v>0.86269676768808479</v>
      </c>
      <c r="JG10" s="89">
        <f t="shared" ref="JG10" si="151">SUM(JB10+JJ10)</f>
        <v>108944</v>
      </c>
      <c r="JH10" s="89">
        <v>4413</v>
      </c>
      <c r="JI10" s="89">
        <v>3499</v>
      </c>
      <c r="JJ10" s="90">
        <v>914</v>
      </c>
      <c r="JK10" s="91">
        <f t="shared" si="97"/>
        <v>0.84606127927427566</v>
      </c>
      <c r="JL10" s="89">
        <f t="shared" ref="JL10" si="152">SUM(JG10+JO10)</f>
        <v>109488</v>
      </c>
      <c r="JM10" s="89">
        <v>4750</v>
      </c>
      <c r="JN10" s="89">
        <v>4206</v>
      </c>
      <c r="JO10" s="90">
        <v>544</v>
      </c>
      <c r="JP10" s="91">
        <f t="shared" si="98"/>
        <v>0.49933911000146863</v>
      </c>
      <c r="JQ10" s="89">
        <f t="shared" si="99"/>
        <v>109840</v>
      </c>
      <c r="JR10" s="89">
        <v>4492</v>
      </c>
      <c r="JS10" s="89">
        <v>4140</v>
      </c>
      <c r="JT10" s="90">
        <v>352</v>
      </c>
      <c r="JU10" s="91">
        <f t="shared" si="100"/>
        <v>0.32149641969896248</v>
      </c>
      <c r="JV10" s="89">
        <f t="shared" si="101"/>
        <v>110795</v>
      </c>
      <c r="JW10" s="89">
        <v>4642</v>
      </c>
      <c r="JX10" s="89">
        <v>3687</v>
      </c>
      <c r="JY10" s="90">
        <v>955</v>
      </c>
      <c r="JZ10" s="91">
        <f t="shared" si="102"/>
        <v>0.86944646758922073</v>
      </c>
      <c r="KA10" s="89">
        <f t="shared" si="103"/>
        <v>110942</v>
      </c>
      <c r="KB10" s="89">
        <v>4656</v>
      </c>
      <c r="KC10" s="89">
        <v>4509</v>
      </c>
      <c r="KD10" s="90">
        <v>147</v>
      </c>
      <c r="KE10" s="91">
        <f t="shared" si="104"/>
        <v>0.13267746739473804</v>
      </c>
      <c r="KF10" s="89">
        <f t="shared" si="105"/>
        <v>110570</v>
      </c>
      <c r="KG10" s="89">
        <v>3905</v>
      </c>
      <c r="KH10" s="89">
        <v>4277</v>
      </c>
      <c r="KI10" s="90">
        <v>-372</v>
      </c>
      <c r="KJ10" s="91">
        <f t="shared" si="106"/>
        <v>-0.33531034234104307</v>
      </c>
      <c r="KK10" s="89">
        <f t="shared" si="107"/>
        <v>109835</v>
      </c>
      <c r="KL10" s="89">
        <v>3016</v>
      </c>
      <c r="KM10" s="89">
        <v>3751</v>
      </c>
      <c r="KN10" s="90">
        <v>-735</v>
      </c>
      <c r="KO10" s="91">
        <f t="shared" si="108"/>
        <v>-0.66473727050737086</v>
      </c>
      <c r="KP10" s="89">
        <f t="shared" si="109"/>
        <v>109190</v>
      </c>
      <c r="KQ10" s="89">
        <v>3905</v>
      </c>
      <c r="KR10" s="89">
        <v>4550</v>
      </c>
      <c r="KS10" s="90">
        <v>-645</v>
      </c>
      <c r="KT10" s="91">
        <f t="shared" si="110"/>
        <v>-0.58724450311831378</v>
      </c>
      <c r="KU10" s="89">
        <f t="shared" si="111"/>
        <v>109619</v>
      </c>
      <c r="KV10" s="89">
        <v>5205</v>
      </c>
      <c r="KW10" s="89">
        <v>4776</v>
      </c>
      <c r="KX10" s="90">
        <v>429</v>
      </c>
      <c r="KY10" s="91">
        <f t="shared" si="112"/>
        <v>0.39289312208077665</v>
      </c>
      <c r="KZ10" s="89">
        <f t="shared" si="113"/>
        <v>109973</v>
      </c>
      <c r="LA10" s="89">
        <v>4810</v>
      </c>
      <c r="LB10" s="89">
        <v>4456</v>
      </c>
      <c r="LC10" s="90">
        <v>354</v>
      </c>
      <c r="LD10" s="91">
        <f t="shared" si="114"/>
        <v>0.32293671717494232</v>
      </c>
      <c r="LE10" s="89">
        <f t="shared" si="115"/>
        <v>110733</v>
      </c>
      <c r="LF10" s="89">
        <v>4660</v>
      </c>
      <c r="LG10" s="89">
        <v>3900</v>
      </c>
      <c r="LH10" s="90">
        <v>760</v>
      </c>
      <c r="LI10" s="91">
        <f t="shared" si="116"/>
        <v>0.69107871932201537</v>
      </c>
      <c r="LJ10" s="89">
        <f t="shared" si="117"/>
        <v>112118</v>
      </c>
      <c r="LK10" s="89">
        <v>5783</v>
      </c>
      <c r="LL10" s="89">
        <v>4398</v>
      </c>
      <c r="LM10" s="90">
        <v>1385</v>
      </c>
      <c r="LN10" s="91">
        <f t="shared" si="118"/>
        <v>1.2507563237697887</v>
      </c>
      <c r="LO10" s="89">
        <f t="shared" si="119"/>
        <v>112723</v>
      </c>
      <c r="LP10" s="89">
        <v>4821</v>
      </c>
      <c r="LQ10" s="89">
        <v>4216</v>
      </c>
      <c r="LR10" s="90">
        <v>605</v>
      </c>
      <c r="LS10" s="91">
        <f t="shared" si="120"/>
        <v>0.53961005369343018</v>
      </c>
      <c r="LT10" s="89">
        <f t="shared" si="121"/>
        <v>112835</v>
      </c>
      <c r="LU10" s="89">
        <v>4486</v>
      </c>
      <c r="LV10" s="89">
        <v>4374</v>
      </c>
      <c r="LW10" s="90">
        <v>112</v>
      </c>
      <c r="LX10" s="91">
        <f t="shared" si="122"/>
        <v>9.9358604721307989E-2</v>
      </c>
      <c r="LY10" s="89">
        <f t="shared" si="123"/>
        <v>113674</v>
      </c>
      <c r="LZ10" s="89">
        <v>4963</v>
      </c>
      <c r="MA10" s="89">
        <v>4124</v>
      </c>
      <c r="MB10" s="90">
        <v>839</v>
      </c>
      <c r="MC10" s="91">
        <f t="shared" si="124"/>
        <v>0.74356361058182296</v>
      </c>
      <c r="MD10" s="89">
        <f t="shared" si="125"/>
        <v>114519</v>
      </c>
      <c r="ME10" s="89">
        <v>4568</v>
      </c>
      <c r="MF10" s="89">
        <v>3723</v>
      </c>
      <c r="MG10" s="90">
        <v>845</v>
      </c>
      <c r="MH10" s="91">
        <f t="shared" si="126"/>
        <v>0.74335380122103556</v>
      </c>
      <c r="MI10" s="89">
        <f t="shared" si="127"/>
        <v>114347</v>
      </c>
      <c r="MJ10" s="89">
        <v>4200</v>
      </c>
      <c r="MK10" s="89">
        <v>4372</v>
      </c>
      <c r="ML10" s="90">
        <v>-172</v>
      </c>
      <c r="MM10" s="91">
        <f t="shared" si="9"/>
        <v>-0.15019341768614816</v>
      </c>
      <c r="MN10" s="89">
        <f t="shared" si="10"/>
        <v>114273</v>
      </c>
      <c r="MO10" s="89">
        <v>4555</v>
      </c>
      <c r="MP10" s="89">
        <v>4629</v>
      </c>
      <c r="MQ10" s="90">
        <v>-74</v>
      </c>
      <c r="MR10" s="91">
        <f t="shared" si="11"/>
        <v>-6.4715296422293539E-2</v>
      </c>
      <c r="MS10" s="89">
        <f t="shared" si="12"/>
        <v>113812</v>
      </c>
      <c r="MT10" s="89">
        <v>3294</v>
      </c>
      <c r="MU10" s="89">
        <v>3755</v>
      </c>
      <c r="MV10" s="90">
        <v>-461</v>
      </c>
      <c r="MW10" s="91">
        <f t="shared" si="13"/>
        <v>-0.40341988046170135</v>
      </c>
      <c r="MX10" s="89">
        <f t="shared" si="142"/>
        <v>112920</v>
      </c>
      <c r="MY10" s="89">
        <v>3810</v>
      </c>
      <c r="MZ10" s="89">
        <v>4702</v>
      </c>
      <c r="NA10" s="90">
        <v>-892</v>
      </c>
      <c r="NB10" s="104">
        <v>-0.77016061499999999</v>
      </c>
      <c r="NC10" s="89">
        <f t="shared" si="143"/>
        <v>113196</v>
      </c>
      <c r="ND10" s="89">
        <v>5170</v>
      </c>
      <c r="NE10" s="89">
        <v>4894</v>
      </c>
      <c r="NF10" s="90">
        <v>276</v>
      </c>
      <c r="NG10" s="104">
        <f t="shared" si="14"/>
        <v>0.24382487013675397</v>
      </c>
      <c r="NH10" s="89">
        <f t="shared" si="144"/>
        <v>114262</v>
      </c>
      <c r="NI10" s="89">
        <v>5725</v>
      </c>
      <c r="NJ10" s="89">
        <v>4659</v>
      </c>
      <c r="NK10" s="90">
        <v>1066</v>
      </c>
      <c r="NL10" s="104">
        <f t="shared" si="15"/>
        <v>0.93294358579405234</v>
      </c>
      <c r="NM10" s="89">
        <f t="shared" si="128"/>
        <v>14705</v>
      </c>
      <c r="NN10" s="89">
        <f t="shared" si="16"/>
        <v>14255</v>
      </c>
      <c r="NO10" s="90">
        <f t="shared" si="16"/>
        <v>450</v>
      </c>
      <c r="NP10" s="104">
        <f t="shared" si="129"/>
        <v>0.39538888693635116</v>
      </c>
      <c r="NQ10" s="89">
        <f t="shared" si="130"/>
        <v>56035</v>
      </c>
      <c r="NR10" s="89">
        <f t="shared" si="17"/>
        <v>51746</v>
      </c>
      <c r="NS10" s="90">
        <f t="shared" si="17"/>
        <v>4289</v>
      </c>
      <c r="NT10" s="104">
        <f t="shared" si="131"/>
        <v>3.9000481936475317</v>
      </c>
      <c r="NU10" s="41"/>
      <c r="NW10" s="48"/>
      <c r="NX10" s="48"/>
      <c r="NY10" s="48"/>
    </row>
  </sheetData>
  <mergeCells count="80">
    <mergeCell ref="GJ5:GN5"/>
    <mergeCell ref="GO5:GS5"/>
    <mergeCell ref="GT5:GX5"/>
    <mergeCell ref="GY5:HC5"/>
    <mergeCell ref="GE5:GI5"/>
    <mergeCell ref="IC5:IG5"/>
    <mergeCell ref="HD5:HH5"/>
    <mergeCell ref="HI5:HM5"/>
    <mergeCell ref="HN5:HR5"/>
    <mergeCell ref="HS5:HW5"/>
    <mergeCell ref="HX5:IB5"/>
    <mergeCell ref="EQ5:EU5"/>
    <mergeCell ref="FU5:FY5"/>
    <mergeCell ref="FP5:FT5"/>
    <mergeCell ref="AZ5:BD5"/>
    <mergeCell ref="DM5:DQ5"/>
    <mergeCell ref="BO5:BS5"/>
    <mergeCell ref="BT5:BX5"/>
    <mergeCell ref="DH5:DL5"/>
    <mergeCell ref="BJ5:BN5"/>
    <mergeCell ref="FK5:FO5"/>
    <mergeCell ref="FA5:FE5"/>
    <mergeCell ref="EB5:EF5"/>
    <mergeCell ref="EG5:EK5"/>
    <mergeCell ref="DR5:DV5"/>
    <mergeCell ref="DW5:EA5"/>
    <mergeCell ref="A3:B3"/>
    <mergeCell ref="BE5:BI5"/>
    <mergeCell ref="AA5:AE5"/>
    <mergeCell ref="C5:F5"/>
    <mergeCell ref="G5:K5"/>
    <mergeCell ref="L5:P5"/>
    <mergeCell ref="Q5:U5"/>
    <mergeCell ref="V5:Z5"/>
    <mergeCell ref="AF5:AJ5"/>
    <mergeCell ref="AK5:AO5"/>
    <mergeCell ref="AP5:AT5"/>
    <mergeCell ref="AU5:AY5"/>
    <mergeCell ref="B5:B6"/>
    <mergeCell ref="JV5:JZ5"/>
    <mergeCell ref="EL5:EP5"/>
    <mergeCell ref="IM5:IQ5"/>
    <mergeCell ref="A4:B4"/>
    <mergeCell ref="CX5:DB5"/>
    <mergeCell ref="DC5:DG5"/>
    <mergeCell ref="BY5:CC5"/>
    <mergeCell ref="CD5:CH5"/>
    <mergeCell ref="CI5:CM5"/>
    <mergeCell ref="CN5:CR5"/>
    <mergeCell ref="CS5:CW5"/>
    <mergeCell ref="IH5:IL5"/>
    <mergeCell ref="FZ5:GD5"/>
    <mergeCell ref="FF5:FJ5"/>
    <mergeCell ref="EV5:EZ5"/>
    <mergeCell ref="IR5:IV5"/>
    <mergeCell ref="IW5:JA5"/>
    <mergeCell ref="JB5:JF5"/>
    <mergeCell ref="JG5:JK5"/>
    <mergeCell ref="JL5:JP5"/>
    <mergeCell ref="JQ5:JU5"/>
    <mergeCell ref="KA5:KE5"/>
    <mergeCell ref="KF5:KJ5"/>
    <mergeCell ref="KP5:KT5"/>
    <mergeCell ref="KK5:KO5"/>
    <mergeCell ref="LJ5:LN5"/>
    <mergeCell ref="NQ5:NT5"/>
    <mergeCell ref="MX5:NB5"/>
    <mergeCell ref="LE5:LI5"/>
    <mergeCell ref="KZ5:LD5"/>
    <mergeCell ref="KU5:KY5"/>
    <mergeCell ref="LO5:LS5"/>
    <mergeCell ref="LT5:LX5"/>
    <mergeCell ref="LY5:MC5"/>
    <mergeCell ref="MD5:MH5"/>
    <mergeCell ref="MI5:MM5"/>
    <mergeCell ref="MN5:MR5"/>
    <mergeCell ref="MS5:MW5"/>
    <mergeCell ref="NC5:NG5"/>
    <mergeCell ref="NM5:NP5"/>
    <mergeCell ref="NH5:NL5"/>
  </mergeCells>
  <phoneticPr fontId="22" type="noConversion"/>
  <printOptions horizontalCentered="1" verticalCentered="1"/>
  <pageMargins left="0" right="0" top="0" bottom="0" header="0.19" footer="0.18"/>
  <pageSetup paperSize="9"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V10"/>
  <sheetViews>
    <sheetView showGridLines="0" zoomScaleNormal="10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ColWidth="9.140625" defaultRowHeight="16.5" customHeight="1"/>
  <cols>
    <col min="1" max="1" width="0.7109375" style="4" customWidth="1"/>
    <col min="2" max="2" width="49.7109375" style="4" customWidth="1"/>
    <col min="3" max="294" width="16.140625" style="4" customWidth="1"/>
    <col min="295" max="295" width="9.140625" style="4" customWidth="1"/>
    <col min="296" max="299" width="16.140625" style="4" customWidth="1"/>
    <col min="300" max="300" width="9.140625" style="4" customWidth="1"/>
    <col min="301" max="301" width="16.140625" style="4" customWidth="1"/>
    <col min="302" max="304" width="15.7109375" style="4" customWidth="1"/>
    <col min="305" max="305" width="9.140625" style="4" customWidth="1"/>
    <col min="306" max="309" width="15.7109375" style="4" customWidth="1"/>
    <col min="310" max="310" width="9.140625" style="4" customWidth="1"/>
    <col min="311" max="314" width="15.7109375" style="4" customWidth="1"/>
    <col min="315" max="315" width="9.140625" style="4" customWidth="1"/>
    <col min="316" max="319" width="15.7109375" style="4" customWidth="1"/>
    <col min="320" max="320" width="9.140625" style="4" customWidth="1"/>
    <col min="321" max="324" width="15.7109375" style="4" customWidth="1"/>
    <col min="325" max="325" width="9.140625" style="4" customWidth="1"/>
    <col min="326" max="329" width="15.7109375" style="4" customWidth="1"/>
    <col min="330" max="330" width="9.140625" style="4" customWidth="1"/>
    <col min="331" max="334" width="15.7109375" style="4" customWidth="1"/>
    <col min="335" max="335" width="9.140625" style="4" customWidth="1"/>
    <col min="336" max="339" width="15.7109375" style="4" customWidth="1"/>
    <col min="340" max="340" width="9.140625" style="4" customWidth="1"/>
    <col min="341" max="344" width="15.7109375" style="4" customWidth="1"/>
    <col min="345" max="345" width="9.140625" style="4" customWidth="1"/>
    <col min="346" max="349" width="15.7109375" style="4" customWidth="1"/>
    <col min="350" max="350" width="9.140625" style="4" customWidth="1"/>
    <col min="351" max="354" width="15.7109375" style="4" customWidth="1"/>
    <col min="355" max="355" width="9.140625" style="4" customWidth="1"/>
    <col min="356" max="359" width="15.7109375" style="4" customWidth="1"/>
    <col min="360" max="360" width="13.42578125" style="4" customWidth="1"/>
    <col min="361" max="364" width="15.7109375" style="4" customWidth="1"/>
    <col min="365" max="365" width="13.42578125" style="4" customWidth="1"/>
    <col min="366" max="370" width="15.7109375" style="4" customWidth="1"/>
    <col min="371" max="374" width="15.7109375" style="4" hidden="1" customWidth="1"/>
    <col min="375" max="382" width="15.7109375" style="4" customWidth="1"/>
    <col min="383" max="383" width="13.42578125" style="4" customWidth="1"/>
    <col min="384" max="384" width="15.7109375" style="4" customWidth="1"/>
    <col min="385" max="385" width="0.7109375" style="4" customWidth="1"/>
    <col min="386" max="16384" width="9.140625" style="4"/>
  </cols>
  <sheetData>
    <row r="1" spans="1:386" ht="8.2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147"/>
      <c r="IR1" s="147"/>
      <c r="IS1" s="147"/>
      <c r="IT1" s="147"/>
      <c r="IU1" s="147"/>
      <c r="IV1" s="147"/>
      <c r="IW1" s="147"/>
      <c r="IX1" s="147"/>
      <c r="IY1" s="147"/>
      <c r="IZ1" s="147"/>
      <c r="JA1" s="147"/>
      <c r="JB1" s="147"/>
      <c r="JC1" s="147"/>
      <c r="JD1" s="147"/>
      <c r="JE1" s="147"/>
      <c r="JF1" s="147"/>
      <c r="JG1" s="147"/>
      <c r="JH1" s="147"/>
      <c r="JI1" s="147"/>
      <c r="JJ1" s="147"/>
      <c r="JK1" s="147"/>
      <c r="JL1" s="147"/>
      <c r="JM1" s="147"/>
      <c r="JN1" s="147"/>
      <c r="JO1" s="147"/>
      <c r="JP1" s="147"/>
      <c r="JQ1" s="147"/>
      <c r="JR1" s="147"/>
      <c r="JS1" s="147"/>
      <c r="JT1" s="147"/>
      <c r="JU1" s="147"/>
      <c r="JV1" s="147"/>
      <c r="JW1" s="147"/>
      <c r="JX1" s="147"/>
      <c r="JY1" s="147"/>
      <c r="JZ1" s="147"/>
      <c r="KA1" s="147"/>
      <c r="KB1" s="147"/>
      <c r="KC1" s="147"/>
      <c r="KD1" s="147"/>
      <c r="KE1" s="147"/>
      <c r="KF1" s="147"/>
      <c r="KG1" s="147"/>
      <c r="KH1" s="147"/>
      <c r="KI1" s="147"/>
      <c r="KJ1" s="147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</row>
    <row r="2" spans="1:386" ht="15" customHeight="1">
      <c r="A2" s="39"/>
      <c r="B2" s="33" t="s">
        <v>134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147"/>
      <c r="IR2" s="147"/>
      <c r="IS2" s="147"/>
      <c r="IT2" s="147"/>
      <c r="IU2" s="147"/>
      <c r="IV2" s="147"/>
      <c r="IW2" s="147"/>
      <c r="IX2" s="147"/>
      <c r="IY2" s="147"/>
      <c r="IZ2" s="147"/>
      <c r="JA2" s="147"/>
      <c r="JB2" s="147"/>
      <c r="JC2" s="147"/>
      <c r="JD2" s="147"/>
      <c r="JE2" s="147"/>
      <c r="JF2" s="147"/>
      <c r="JG2" s="147"/>
      <c r="JH2" s="147"/>
      <c r="JI2" s="147"/>
      <c r="JJ2" s="147"/>
      <c r="JK2" s="147"/>
      <c r="JL2" s="147"/>
      <c r="JM2" s="147"/>
      <c r="JN2" s="147"/>
      <c r="JO2" s="147"/>
      <c r="JP2" s="147"/>
      <c r="JQ2" s="147"/>
      <c r="JR2" s="147"/>
      <c r="JS2" s="147"/>
      <c r="JT2" s="147"/>
      <c r="JU2" s="147"/>
      <c r="JV2" s="147"/>
      <c r="JW2" s="147"/>
      <c r="JX2" s="147"/>
      <c r="JY2" s="147"/>
      <c r="JZ2" s="147"/>
      <c r="KA2" s="147"/>
      <c r="KB2" s="147"/>
      <c r="KC2" s="147"/>
      <c r="KD2" s="147"/>
      <c r="KE2" s="147"/>
      <c r="KF2" s="147"/>
      <c r="KG2" s="147"/>
      <c r="KH2" s="147"/>
      <c r="KI2" s="147"/>
      <c r="KJ2" s="147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</row>
    <row r="3" spans="1:386" ht="15" customHeight="1">
      <c r="A3" s="147"/>
      <c r="B3" s="147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39"/>
      <c r="AT3" s="39"/>
      <c r="AU3" s="83"/>
      <c r="AV3" s="83"/>
      <c r="AW3" s="83"/>
      <c r="AX3" s="39"/>
      <c r="AY3" s="39"/>
      <c r="AZ3" s="83"/>
      <c r="BA3" s="83"/>
      <c r="BB3" s="83"/>
      <c r="BC3" s="39"/>
      <c r="BD3" s="39"/>
      <c r="BE3" s="83"/>
      <c r="BF3" s="83"/>
      <c r="BG3" s="83"/>
      <c r="BH3" s="39"/>
      <c r="BI3" s="39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39"/>
      <c r="DB3" s="39"/>
      <c r="DC3" s="83"/>
      <c r="DD3" s="83"/>
      <c r="DE3" s="83"/>
      <c r="DF3" s="39"/>
      <c r="DG3" s="39"/>
      <c r="DH3" s="83"/>
      <c r="DI3" s="83"/>
      <c r="DJ3" s="83"/>
      <c r="DK3" s="39"/>
      <c r="DL3" s="39"/>
      <c r="DM3" s="83"/>
      <c r="DN3" s="83"/>
      <c r="DO3" s="83"/>
      <c r="DP3" s="39"/>
      <c r="DQ3" s="39"/>
      <c r="DR3" s="83"/>
      <c r="DS3" s="83"/>
      <c r="DT3" s="83"/>
      <c r="DU3" s="39"/>
      <c r="DV3" s="39"/>
      <c r="DW3" s="83"/>
      <c r="DX3" s="83"/>
      <c r="DY3" s="83"/>
      <c r="DZ3" s="39"/>
      <c r="EA3" s="39"/>
      <c r="EB3" s="83"/>
      <c r="EC3" s="83"/>
      <c r="ED3" s="83"/>
      <c r="EE3" s="39"/>
      <c r="EF3" s="39"/>
      <c r="EG3" s="83"/>
      <c r="EH3" s="83"/>
      <c r="EI3" s="83"/>
      <c r="EJ3" s="39"/>
      <c r="EK3" s="39"/>
      <c r="EL3" s="83"/>
      <c r="EM3" s="83"/>
      <c r="EN3" s="83"/>
      <c r="EO3" s="39"/>
      <c r="EP3" s="39"/>
      <c r="EQ3" s="83"/>
      <c r="ER3" s="83"/>
      <c r="ES3" s="83"/>
      <c r="ET3" s="39"/>
      <c r="EU3" s="39"/>
      <c r="EV3" s="83"/>
      <c r="EW3" s="83"/>
      <c r="EX3" s="83"/>
      <c r="EY3" s="39"/>
      <c r="EZ3" s="39"/>
      <c r="FA3" s="83"/>
      <c r="FB3" s="83"/>
      <c r="FC3" s="83"/>
      <c r="FD3" s="39"/>
      <c r="FE3" s="39"/>
      <c r="FF3" s="83"/>
      <c r="FG3" s="83"/>
      <c r="FH3" s="83"/>
      <c r="FI3" s="39"/>
      <c r="FJ3" s="39"/>
      <c r="FK3" s="83"/>
      <c r="FL3" s="83"/>
      <c r="FM3" s="83"/>
      <c r="FN3" s="39"/>
      <c r="FO3" s="39"/>
      <c r="FP3" s="83"/>
      <c r="FQ3" s="83"/>
      <c r="FR3" s="83"/>
      <c r="FS3" s="39"/>
      <c r="FT3" s="39"/>
      <c r="FU3" s="83"/>
      <c r="FV3" s="83"/>
      <c r="FW3" s="83"/>
      <c r="FX3" s="39"/>
      <c r="FY3" s="39"/>
      <c r="FZ3" s="83"/>
      <c r="GA3" s="83"/>
      <c r="GB3" s="83"/>
      <c r="GC3" s="39"/>
      <c r="GD3" s="39"/>
      <c r="GE3" s="83"/>
      <c r="GF3" s="83"/>
      <c r="GG3" s="83"/>
      <c r="GH3" s="39"/>
      <c r="GI3" s="39"/>
      <c r="GJ3" s="83"/>
      <c r="GK3" s="83"/>
      <c r="GL3" s="83"/>
      <c r="GM3" s="39"/>
      <c r="GN3" s="39"/>
      <c r="GO3" s="83"/>
      <c r="GP3" s="83"/>
      <c r="GQ3" s="83"/>
      <c r="GR3" s="39"/>
      <c r="GS3" s="39"/>
      <c r="GT3" s="83"/>
      <c r="GU3" s="83"/>
      <c r="GV3" s="83"/>
      <c r="GW3" s="39"/>
      <c r="GX3" s="39"/>
      <c r="GY3" s="83"/>
      <c r="GZ3" s="83"/>
      <c r="HA3" s="83"/>
      <c r="HB3" s="39"/>
      <c r="HC3" s="39"/>
      <c r="HD3" s="83"/>
      <c r="HE3" s="83"/>
      <c r="HF3" s="83"/>
      <c r="HG3" s="39"/>
      <c r="HH3" s="39"/>
      <c r="HI3" s="83"/>
      <c r="HJ3" s="83"/>
      <c r="HK3" s="83"/>
      <c r="HL3" s="39"/>
      <c r="HM3" s="39"/>
      <c r="HN3" s="83"/>
      <c r="HO3" s="83"/>
      <c r="HP3" s="83"/>
      <c r="HQ3" s="39"/>
      <c r="HR3" s="39"/>
      <c r="HS3" s="83"/>
      <c r="HT3" s="83"/>
      <c r="HU3" s="83"/>
      <c r="HV3" s="39"/>
      <c r="HW3" s="39"/>
      <c r="HX3" s="83"/>
      <c r="HY3" s="83"/>
      <c r="HZ3" s="83"/>
      <c r="IA3" s="39"/>
      <c r="IB3" s="39"/>
      <c r="IC3" s="83"/>
      <c r="ID3" s="83"/>
      <c r="IE3" s="83"/>
      <c r="IF3" s="39"/>
      <c r="IG3" s="39"/>
      <c r="IH3" s="83"/>
      <c r="II3" s="83"/>
      <c r="IJ3" s="83"/>
      <c r="IK3" s="39"/>
      <c r="IL3" s="39"/>
      <c r="IM3" s="83"/>
      <c r="IN3" s="83"/>
      <c r="IO3" s="39"/>
      <c r="IP3" s="83"/>
      <c r="IQ3" s="147"/>
      <c r="IR3" s="147"/>
      <c r="IS3" s="147"/>
      <c r="IT3" s="147"/>
      <c r="IU3" s="147"/>
      <c r="IV3" s="147"/>
      <c r="IW3" s="147"/>
      <c r="IX3" s="147"/>
      <c r="IY3" s="147"/>
      <c r="IZ3" s="147"/>
      <c r="JA3" s="147"/>
      <c r="JB3" s="147"/>
      <c r="JC3" s="147"/>
      <c r="JD3" s="147"/>
      <c r="JE3" s="147"/>
      <c r="JF3" s="147"/>
      <c r="JG3" s="147"/>
      <c r="JH3" s="147"/>
      <c r="JI3" s="147"/>
      <c r="JJ3" s="147"/>
      <c r="JK3" s="147"/>
      <c r="JL3" s="147"/>
      <c r="JM3" s="147"/>
      <c r="JN3" s="147"/>
      <c r="JO3" s="147"/>
      <c r="JP3" s="147"/>
      <c r="JQ3" s="147"/>
      <c r="JR3" s="147"/>
      <c r="JS3" s="147"/>
      <c r="JT3" s="147"/>
      <c r="JU3" s="147"/>
      <c r="JV3" s="147"/>
      <c r="JW3" s="147"/>
      <c r="JX3" s="147"/>
      <c r="JY3" s="147"/>
      <c r="JZ3" s="147"/>
      <c r="KA3" s="147"/>
      <c r="KB3" s="147"/>
      <c r="KC3" s="147"/>
      <c r="KD3" s="147"/>
      <c r="KE3" s="147"/>
      <c r="KF3" s="147"/>
      <c r="KG3" s="147"/>
      <c r="KH3" s="147"/>
      <c r="KI3" s="147"/>
      <c r="KJ3" s="147"/>
      <c r="KK3" s="39"/>
      <c r="KL3" s="39"/>
      <c r="KM3" s="39"/>
      <c r="KN3" s="39"/>
      <c r="KO3" s="39"/>
      <c r="KP3" s="83"/>
      <c r="KQ3" s="83"/>
      <c r="KR3" s="39"/>
      <c r="KS3" s="83"/>
      <c r="KT3" s="39"/>
      <c r="KU3" s="83"/>
      <c r="KV3" s="83"/>
      <c r="KW3" s="39"/>
      <c r="KX3" s="83"/>
      <c r="KY3" s="39"/>
      <c r="KZ3" s="83"/>
      <c r="LA3" s="83"/>
      <c r="LB3" s="39"/>
      <c r="LC3" s="83"/>
      <c r="LD3" s="39"/>
      <c r="LE3" s="83"/>
      <c r="LF3" s="83"/>
      <c r="LG3" s="39"/>
      <c r="LH3" s="83"/>
      <c r="LI3" s="39"/>
      <c r="LJ3" s="83"/>
      <c r="LK3" s="83"/>
      <c r="LL3" s="39"/>
      <c r="LM3" s="83"/>
      <c r="LN3" s="39"/>
      <c r="LO3" s="83"/>
      <c r="LP3" s="83"/>
      <c r="LQ3" s="39"/>
      <c r="LR3" s="83"/>
      <c r="LS3" s="39"/>
      <c r="LT3" s="83"/>
      <c r="LU3" s="83"/>
      <c r="LV3" s="39"/>
      <c r="LW3" s="83"/>
      <c r="LX3" s="39"/>
      <c r="LY3" s="83"/>
      <c r="LZ3" s="83"/>
      <c r="MA3" s="39"/>
      <c r="MB3" s="83"/>
      <c r="MC3" s="39"/>
      <c r="MD3" s="83"/>
      <c r="ME3" s="83"/>
      <c r="MF3" s="39"/>
      <c r="MG3" s="83"/>
      <c r="MH3" s="39"/>
      <c r="MI3" s="83"/>
      <c r="MJ3" s="83"/>
      <c r="MK3" s="39"/>
      <c r="ML3" s="83"/>
      <c r="MM3" s="39"/>
      <c r="MN3" s="83"/>
      <c r="MO3" s="83"/>
      <c r="MP3" s="39"/>
      <c r="MQ3" s="83"/>
      <c r="MR3" s="39"/>
      <c r="MS3" s="83"/>
      <c r="MT3" s="83"/>
      <c r="MU3" s="39"/>
      <c r="MV3" s="83"/>
      <c r="MW3" s="39"/>
      <c r="MX3" s="83"/>
      <c r="MY3" s="83"/>
      <c r="MZ3" s="39"/>
      <c r="NA3" s="83"/>
      <c r="NB3" s="39"/>
      <c r="NC3" s="39"/>
      <c r="ND3" s="39"/>
      <c r="NE3" s="39"/>
      <c r="NF3" s="39"/>
      <c r="NG3" s="39"/>
      <c r="NH3" s="39"/>
      <c r="NI3" s="39"/>
      <c r="NJ3" s="39"/>
      <c r="NK3" s="39"/>
      <c r="NL3" s="39"/>
      <c r="NM3" s="39"/>
      <c r="NN3" s="39"/>
      <c r="NO3" s="39"/>
      <c r="NP3" s="39"/>
      <c r="NQ3" s="83"/>
      <c r="NR3" s="39"/>
      <c r="NS3" s="83"/>
      <c r="NT3" s="39"/>
    </row>
    <row r="4" spans="1:386" ht="3.95" customHeight="1">
      <c r="A4" s="146"/>
      <c r="B4" s="146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1"/>
      <c r="AT4" s="41"/>
      <c r="AU4" s="42"/>
      <c r="AV4" s="42"/>
      <c r="AW4" s="42"/>
      <c r="AX4" s="41"/>
      <c r="AY4" s="41"/>
      <c r="AZ4" s="42"/>
      <c r="BA4" s="42"/>
      <c r="BB4" s="42"/>
      <c r="BC4" s="41"/>
      <c r="BD4" s="41"/>
      <c r="BE4" s="42"/>
      <c r="BF4" s="42"/>
      <c r="BG4" s="42"/>
      <c r="BH4" s="41"/>
      <c r="BI4" s="41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1"/>
      <c r="DB4" s="41"/>
      <c r="DC4" s="42"/>
      <c r="DD4" s="42"/>
      <c r="DE4" s="42"/>
      <c r="DF4" s="41"/>
      <c r="DG4" s="41"/>
      <c r="DH4" s="42"/>
      <c r="DI4" s="42"/>
      <c r="DJ4" s="42"/>
      <c r="DK4" s="41"/>
      <c r="DL4" s="41"/>
      <c r="DM4" s="42"/>
      <c r="DN4" s="42"/>
      <c r="DO4" s="42"/>
      <c r="DP4" s="41"/>
      <c r="DQ4" s="41"/>
      <c r="DR4" s="42"/>
      <c r="DS4" s="42"/>
      <c r="DT4" s="42"/>
      <c r="DU4" s="41"/>
      <c r="DV4" s="41"/>
      <c r="DW4" s="42"/>
      <c r="DX4" s="42"/>
      <c r="DY4" s="42"/>
      <c r="DZ4" s="41"/>
      <c r="EA4" s="41"/>
      <c r="EB4" s="42"/>
      <c r="EC4" s="42"/>
      <c r="ED4" s="42"/>
      <c r="EE4" s="41"/>
      <c r="EF4" s="41"/>
      <c r="EG4" s="42"/>
      <c r="EH4" s="42"/>
      <c r="EI4" s="42"/>
      <c r="EJ4" s="41"/>
      <c r="EK4" s="41"/>
      <c r="EL4" s="42"/>
      <c r="EM4" s="42"/>
      <c r="EN4" s="42"/>
      <c r="EO4" s="41"/>
      <c r="EP4" s="41"/>
      <c r="EQ4" s="42"/>
      <c r="ER4" s="42"/>
      <c r="ES4" s="42"/>
      <c r="ET4" s="41"/>
      <c r="EU4" s="41"/>
      <c r="EV4" s="42"/>
      <c r="EW4" s="42"/>
      <c r="EX4" s="42"/>
      <c r="EY4" s="41"/>
      <c r="EZ4" s="41"/>
      <c r="FA4" s="42"/>
      <c r="FB4" s="42"/>
      <c r="FC4" s="42"/>
      <c r="FD4" s="41"/>
      <c r="FE4" s="41"/>
      <c r="FF4" s="42"/>
      <c r="FG4" s="42"/>
      <c r="FH4" s="42"/>
      <c r="FI4" s="41"/>
      <c r="FJ4" s="41"/>
      <c r="FK4" s="42"/>
      <c r="FL4" s="42"/>
      <c r="FM4" s="42"/>
      <c r="FN4" s="41"/>
      <c r="FO4" s="41"/>
      <c r="FP4" s="42"/>
      <c r="FQ4" s="42"/>
      <c r="FR4" s="42"/>
      <c r="FS4" s="41"/>
      <c r="FT4" s="41"/>
      <c r="FU4" s="42"/>
      <c r="FV4" s="42"/>
      <c r="FW4" s="42"/>
      <c r="FX4" s="41"/>
      <c r="FY4" s="41"/>
      <c r="FZ4" s="42"/>
      <c r="GA4" s="42"/>
      <c r="GB4" s="42"/>
      <c r="GC4" s="41"/>
      <c r="GD4" s="41"/>
      <c r="GE4" s="42"/>
      <c r="GF4" s="42"/>
      <c r="GG4" s="42"/>
      <c r="GH4" s="41"/>
      <c r="GI4" s="41"/>
      <c r="GJ4" s="42"/>
      <c r="GK4" s="42"/>
      <c r="GL4" s="42"/>
      <c r="GM4" s="41"/>
      <c r="GN4" s="41"/>
      <c r="GO4" s="42"/>
      <c r="GP4" s="42"/>
      <c r="GQ4" s="42"/>
      <c r="GR4" s="41"/>
      <c r="GS4" s="41"/>
      <c r="GT4" s="42"/>
      <c r="GU4" s="42"/>
      <c r="GV4" s="42"/>
      <c r="GW4" s="41"/>
      <c r="GX4" s="41"/>
      <c r="GY4" s="42"/>
      <c r="GZ4" s="42"/>
      <c r="HA4" s="42"/>
      <c r="HB4" s="41"/>
      <c r="HC4" s="41"/>
      <c r="HD4" s="42"/>
      <c r="HE4" s="42"/>
      <c r="HF4" s="42"/>
      <c r="HG4" s="41"/>
      <c r="HH4" s="41"/>
      <c r="HI4" s="42"/>
      <c r="HJ4" s="42"/>
      <c r="HK4" s="42"/>
      <c r="HL4" s="41"/>
      <c r="HM4" s="41"/>
      <c r="HN4" s="42"/>
      <c r="HO4" s="42"/>
      <c r="HP4" s="42"/>
      <c r="HQ4" s="41"/>
      <c r="HR4" s="41"/>
      <c r="HS4" s="42"/>
      <c r="HT4" s="42"/>
      <c r="HU4" s="42"/>
      <c r="HV4" s="41"/>
      <c r="HW4" s="41"/>
      <c r="HX4" s="42"/>
      <c r="HY4" s="42"/>
      <c r="HZ4" s="42"/>
      <c r="IA4" s="41"/>
      <c r="IB4" s="41"/>
      <c r="IC4" s="42"/>
      <c r="ID4" s="42"/>
      <c r="IE4" s="42"/>
      <c r="IF4" s="41"/>
      <c r="IG4" s="41"/>
      <c r="IH4" s="42"/>
      <c r="II4" s="42"/>
      <c r="IJ4" s="42"/>
      <c r="IK4" s="41"/>
      <c r="IL4" s="41"/>
      <c r="IM4" s="42"/>
      <c r="IN4" s="42"/>
      <c r="IO4" s="42"/>
      <c r="IP4" s="41"/>
      <c r="IQ4" s="41"/>
      <c r="IR4" s="42"/>
      <c r="IS4" s="42"/>
      <c r="IT4" s="42"/>
      <c r="IU4" s="41"/>
      <c r="IV4" s="41"/>
      <c r="IW4" s="42"/>
      <c r="IX4" s="42"/>
      <c r="IY4" s="42"/>
      <c r="IZ4" s="41"/>
      <c r="JA4" s="41"/>
      <c r="JB4" s="42"/>
      <c r="JC4" s="42"/>
      <c r="JD4" s="42"/>
      <c r="JE4" s="41"/>
      <c r="JF4" s="41"/>
      <c r="JG4" s="42"/>
      <c r="JH4" s="42"/>
      <c r="JI4" s="42"/>
      <c r="JJ4" s="41"/>
      <c r="JK4" s="41"/>
      <c r="JL4" s="42"/>
      <c r="JM4" s="42"/>
      <c r="JN4" s="42"/>
      <c r="JO4" s="41"/>
      <c r="JP4" s="41"/>
      <c r="JQ4" s="42"/>
      <c r="JR4" s="42"/>
      <c r="JS4" s="42"/>
      <c r="JT4" s="41"/>
      <c r="JU4" s="41"/>
      <c r="JV4" s="42"/>
      <c r="JW4" s="42"/>
      <c r="JX4" s="42"/>
      <c r="JY4" s="41"/>
      <c r="JZ4" s="41"/>
      <c r="KA4" s="42"/>
      <c r="KB4" s="42"/>
      <c r="KC4" s="42"/>
      <c r="KD4" s="41"/>
      <c r="KE4" s="41"/>
      <c r="KF4" s="42"/>
      <c r="KG4" s="42"/>
      <c r="KH4" s="42"/>
      <c r="KI4" s="41"/>
      <c r="KJ4" s="41"/>
      <c r="KK4" s="42"/>
      <c r="KL4" s="42"/>
      <c r="KM4" s="42"/>
      <c r="KN4" s="41"/>
      <c r="KO4" s="41"/>
      <c r="KP4" s="42"/>
      <c r="KQ4" s="42"/>
      <c r="KR4" s="41"/>
      <c r="KS4" s="42"/>
      <c r="KT4" s="41"/>
      <c r="KU4" s="42"/>
      <c r="KV4" s="42"/>
      <c r="KW4" s="41"/>
      <c r="KX4" s="42"/>
      <c r="KY4" s="41"/>
      <c r="KZ4" s="42"/>
      <c r="LA4" s="42"/>
      <c r="LB4" s="41"/>
      <c r="LC4" s="42"/>
      <c r="LD4" s="41"/>
      <c r="LE4" s="42"/>
      <c r="LF4" s="42"/>
      <c r="LG4" s="41"/>
      <c r="LH4" s="42"/>
      <c r="LI4" s="41"/>
      <c r="LJ4" s="42"/>
      <c r="LK4" s="42"/>
      <c r="LL4" s="41"/>
      <c r="LM4" s="42"/>
      <c r="LN4" s="41"/>
      <c r="LO4" s="42"/>
      <c r="LP4" s="42"/>
      <c r="LQ4" s="41"/>
      <c r="LR4" s="42"/>
      <c r="LS4" s="41"/>
      <c r="LT4" s="42"/>
      <c r="LU4" s="42"/>
      <c r="LV4" s="41"/>
      <c r="LW4" s="42"/>
      <c r="LX4" s="41"/>
      <c r="LY4" s="42"/>
      <c r="LZ4" s="42"/>
      <c r="MA4" s="41"/>
      <c r="MB4" s="42"/>
      <c r="MC4" s="41"/>
      <c r="MD4" s="42"/>
      <c r="ME4" s="42"/>
      <c r="MF4" s="41"/>
      <c r="MG4" s="42"/>
      <c r="MH4" s="41"/>
      <c r="MI4" s="42"/>
      <c r="MJ4" s="42"/>
      <c r="MK4" s="41"/>
      <c r="ML4" s="42"/>
      <c r="MM4" s="41"/>
      <c r="MN4" s="42"/>
      <c r="MO4" s="42"/>
      <c r="MP4" s="41"/>
      <c r="MQ4" s="42"/>
      <c r="MR4" s="41"/>
      <c r="MS4" s="42"/>
      <c r="MT4" s="42"/>
      <c r="MU4" s="41"/>
      <c r="MV4" s="42"/>
      <c r="MW4" s="41"/>
      <c r="MX4" s="42"/>
      <c r="MY4" s="42"/>
      <c r="MZ4" s="41"/>
      <c r="NA4" s="42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2"/>
      <c r="NR4" s="41"/>
      <c r="NS4" s="42"/>
      <c r="NT4" s="41"/>
    </row>
    <row r="5" spans="1:386" ht="32.25" customHeight="1">
      <c r="A5" s="41"/>
      <c r="B5" s="148" t="s">
        <v>11</v>
      </c>
      <c r="C5" s="145" t="s">
        <v>54</v>
      </c>
      <c r="D5" s="143"/>
      <c r="E5" s="143"/>
      <c r="F5" s="144"/>
      <c r="G5" s="145" t="s">
        <v>55</v>
      </c>
      <c r="H5" s="143"/>
      <c r="I5" s="143"/>
      <c r="J5" s="143"/>
      <c r="K5" s="144"/>
      <c r="L5" s="145" t="s">
        <v>56</v>
      </c>
      <c r="M5" s="143"/>
      <c r="N5" s="143"/>
      <c r="O5" s="143"/>
      <c r="P5" s="144"/>
      <c r="Q5" s="145" t="s">
        <v>57</v>
      </c>
      <c r="R5" s="143"/>
      <c r="S5" s="143"/>
      <c r="T5" s="143"/>
      <c r="U5" s="144"/>
      <c r="V5" s="145" t="s">
        <v>58</v>
      </c>
      <c r="W5" s="143"/>
      <c r="X5" s="143"/>
      <c r="Y5" s="143"/>
      <c r="Z5" s="144"/>
      <c r="AA5" s="145" t="s">
        <v>59</v>
      </c>
      <c r="AB5" s="143"/>
      <c r="AC5" s="143"/>
      <c r="AD5" s="143"/>
      <c r="AE5" s="144"/>
      <c r="AF5" s="145" t="s">
        <v>60</v>
      </c>
      <c r="AG5" s="143"/>
      <c r="AH5" s="143"/>
      <c r="AI5" s="143"/>
      <c r="AJ5" s="144"/>
      <c r="AK5" s="145" t="s">
        <v>61</v>
      </c>
      <c r="AL5" s="143"/>
      <c r="AM5" s="143"/>
      <c r="AN5" s="143"/>
      <c r="AO5" s="144"/>
      <c r="AP5" s="145" t="s">
        <v>62</v>
      </c>
      <c r="AQ5" s="143"/>
      <c r="AR5" s="143"/>
      <c r="AS5" s="143"/>
      <c r="AT5" s="144"/>
      <c r="AU5" s="145" t="s">
        <v>63</v>
      </c>
      <c r="AV5" s="143"/>
      <c r="AW5" s="143"/>
      <c r="AX5" s="143"/>
      <c r="AY5" s="144"/>
      <c r="AZ5" s="145" t="s">
        <v>64</v>
      </c>
      <c r="BA5" s="143"/>
      <c r="BB5" s="143"/>
      <c r="BC5" s="143"/>
      <c r="BD5" s="144"/>
      <c r="BE5" s="145" t="s">
        <v>65</v>
      </c>
      <c r="BF5" s="143"/>
      <c r="BG5" s="143"/>
      <c r="BH5" s="143"/>
      <c r="BI5" s="144"/>
      <c r="BJ5" s="145" t="s">
        <v>66</v>
      </c>
      <c r="BK5" s="143"/>
      <c r="BL5" s="143"/>
      <c r="BM5" s="143"/>
      <c r="BN5" s="144"/>
      <c r="BO5" s="145" t="s">
        <v>67</v>
      </c>
      <c r="BP5" s="143"/>
      <c r="BQ5" s="143"/>
      <c r="BR5" s="143"/>
      <c r="BS5" s="144"/>
      <c r="BT5" s="145" t="s">
        <v>68</v>
      </c>
      <c r="BU5" s="143"/>
      <c r="BV5" s="143"/>
      <c r="BW5" s="143"/>
      <c r="BX5" s="144"/>
      <c r="BY5" s="145" t="s">
        <v>69</v>
      </c>
      <c r="BZ5" s="143"/>
      <c r="CA5" s="143"/>
      <c r="CB5" s="143"/>
      <c r="CC5" s="144"/>
      <c r="CD5" s="145" t="s">
        <v>70</v>
      </c>
      <c r="CE5" s="143"/>
      <c r="CF5" s="143"/>
      <c r="CG5" s="143"/>
      <c r="CH5" s="144"/>
      <c r="CI5" s="145" t="s">
        <v>71</v>
      </c>
      <c r="CJ5" s="143"/>
      <c r="CK5" s="143"/>
      <c r="CL5" s="143"/>
      <c r="CM5" s="144"/>
      <c r="CN5" s="145" t="s">
        <v>72</v>
      </c>
      <c r="CO5" s="143"/>
      <c r="CP5" s="143"/>
      <c r="CQ5" s="143"/>
      <c r="CR5" s="144"/>
      <c r="CS5" s="145" t="s">
        <v>73</v>
      </c>
      <c r="CT5" s="143"/>
      <c r="CU5" s="143"/>
      <c r="CV5" s="143"/>
      <c r="CW5" s="144"/>
      <c r="CX5" s="145" t="s">
        <v>74</v>
      </c>
      <c r="CY5" s="143"/>
      <c r="CZ5" s="143"/>
      <c r="DA5" s="143"/>
      <c r="DB5" s="144"/>
      <c r="DC5" s="145" t="s">
        <v>75</v>
      </c>
      <c r="DD5" s="143"/>
      <c r="DE5" s="143"/>
      <c r="DF5" s="143"/>
      <c r="DG5" s="144"/>
      <c r="DH5" s="145" t="s">
        <v>76</v>
      </c>
      <c r="DI5" s="143"/>
      <c r="DJ5" s="143"/>
      <c r="DK5" s="143"/>
      <c r="DL5" s="144"/>
      <c r="DM5" s="145" t="s">
        <v>77</v>
      </c>
      <c r="DN5" s="143"/>
      <c r="DO5" s="143"/>
      <c r="DP5" s="143"/>
      <c r="DQ5" s="144"/>
      <c r="DR5" s="145" t="s">
        <v>78</v>
      </c>
      <c r="DS5" s="143"/>
      <c r="DT5" s="143"/>
      <c r="DU5" s="143"/>
      <c r="DV5" s="144"/>
      <c r="DW5" s="145" t="s">
        <v>79</v>
      </c>
      <c r="DX5" s="143"/>
      <c r="DY5" s="143"/>
      <c r="DZ5" s="143"/>
      <c r="EA5" s="144"/>
      <c r="EB5" s="145" t="s">
        <v>80</v>
      </c>
      <c r="EC5" s="143"/>
      <c r="ED5" s="143"/>
      <c r="EE5" s="143"/>
      <c r="EF5" s="144"/>
      <c r="EG5" s="145" t="s">
        <v>81</v>
      </c>
      <c r="EH5" s="143"/>
      <c r="EI5" s="143"/>
      <c r="EJ5" s="143"/>
      <c r="EK5" s="144"/>
      <c r="EL5" s="145" t="s">
        <v>82</v>
      </c>
      <c r="EM5" s="143"/>
      <c r="EN5" s="143"/>
      <c r="EO5" s="143"/>
      <c r="EP5" s="144"/>
      <c r="EQ5" s="145" t="s">
        <v>83</v>
      </c>
      <c r="ER5" s="143"/>
      <c r="ES5" s="143"/>
      <c r="ET5" s="143"/>
      <c r="EU5" s="144"/>
      <c r="EV5" s="145" t="s">
        <v>84</v>
      </c>
      <c r="EW5" s="143"/>
      <c r="EX5" s="143"/>
      <c r="EY5" s="143"/>
      <c r="EZ5" s="144"/>
      <c r="FA5" s="145" t="s">
        <v>85</v>
      </c>
      <c r="FB5" s="143"/>
      <c r="FC5" s="143"/>
      <c r="FD5" s="143"/>
      <c r="FE5" s="144"/>
      <c r="FF5" s="145" t="s">
        <v>86</v>
      </c>
      <c r="FG5" s="143"/>
      <c r="FH5" s="143"/>
      <c r="FI5" s="143"/>
      <c r="FJ5" s="144"/>
      <c r="FK5" s="145" t="s">
        <v>87</v>
      </c>
      <c r="FL5" s="143"/>
      <c r="FM5" s="143"/>
      <c r="FN5" s="143"/>
      <c r="FO5" s="144"/>
      <c r="FP5" s="145" t="s">
        <v>88</v>
      </c>
      <c r="FQ5" s="143"/>
      <c r="FR5" s="143"/>
      <c r="FS5" s="143"/>
      <c r="FT5" s="144"/>
      <c r="FU5" s="145" t="s">
        <v>89</v>
      </c>
      <c r="FV5" s="143"/>
      <c r="FW5" s="143"/>
      <c r="FX5" s="143"/>
      <c r="FY5" s="144"/>
      <c r="FZ5" s="145" t="s">
        <v>90</v>
      </c>
      <c r="GA5" s="143"/>
      <c r="GB5" s="143"/>
      <c r="GC5" s="143"/>
      <c r="GD5" s="144"/>
      <c r="GE5" s="145" t="s">
        <v>91</v>
      </c>
      <c r="GF5" s="143"/>
      <c r="GG5" s="143"/>
      <c r="GH5" s="143"/>
      <c r="GI5" s="144"/>
      <c r="GJ5" s="145" t="s">
        <v>92</v>
      </c>
      <c r="GK5" s="143"/>
      <c r="GL5" s="143"/>
      <c r="GM5" s="143"/>
      <c r="GN5" s="144"/>
      <c r="GO5" s="145" t="s">
        <v>93</v>
      </c>
      <c r="GP5" s="143"/>
      <c r="GQ5" s="143"/>
      <c r="GR5" s="143"/>
      <c r="GS5" s="144"/>
      <c r="GT5" s="145" t="s">
        <v>94</v>
      </c>
      <c r="GU5" s="143"/>
      <c r="GV5" s="143"/>
      <c r="GW5" s="143"/>
      <c r="GX5" s="144"/>
      <c r="GY5" s="145" t="s">
        <v>95</v>
      </c>
      <c r="GZ5" s="143"/>
      <c r="HA5" s="143"/>
      <c r="HB5" s="143"/>
      <c r="HC5" s="144"/>
      <c r="HD5" s="145" t="s">
        <v>96</v>
      </c>
      <c r="HE5" s="143"/>
      <c r="HF5" s="143"/>
      <c r="HG5" s="143"/>
      <c r="HH5" s="144"/>
      <c r="HI5" s="145" t="s">
        <v>97</v>
      </c>
      <c r="HJ5" s="143"/>
      <c r="HK5" s="143"/>
      <c r="HL5" s="143"/>
      <c r="HM5" s="144"/>
      <c r="HN5" s="145" t="s">
        <v>98</v>
      </c>
      <c r="HO5" s="143"/>
      <c r="HP5" s="143"/>
      <c r="HQ5" s="143"/>
      <c r="HR5" s="144"/>
      <c r="HS5" s="145" t="s">
        <v>99</v>
      </c>
      <c r="HT5" s="143"/>
      <c r="HU5" s="143"/>
      <c r="HV5" s="143"/>
      <c r="HW5" s="144"/>
      <c r="HX5" s="145" t="s">
        <v>100</v>
      </c>
      <c r="HY5" s="143"/>
      <c r="HZ5" s="143"/>
      <c r="IA5" s="143"/>
      <c r="IB5" s="144"/>
      <c r="IC5" s="145" t="s">
        <v>101</v>
      </c>
      <c r="ID5" s="143"/>
      <c r="IE5" s="143"/>
      <c r="IF5" s="143"/>
      <c r="IG5" s="144"/>
      <c r="IH5" s="145" t="s">
        <v>102</v>
      </c>
      <c r="II5" s="143"/>
      <c r="IJ5" s="143"/>
      <c r="IK5" s="143"/>
      <c r="IL5" s="144"/>
      <c r="IM5" s="142" t="s">
        <v>103</v>
      </c>
      <c r="IN5" s="143"/>
      <c r="IO5" s="143"/>
      <c r="IP5" s="143"/>
      <c r="IQ5" s="144"/>
      <c r="IR5" s="142" t="s">
        <v>104</v>
      </c>
      <c r="IS5" s="143"/>
      <c r="IT5" s="143"/>
      <c r="IU5" s="143"/>
      <c r="IV5" s="144"/>
      <c r="IW5" s="142" t="s">
        <v>105</v>
      </c>
      <c r="IX5" s="143"/>
      <c r="IY5" s="143"/>
      <c r="IZ5" s="143"/>
      <c r="JA5" s="144"/>
      <c r="JB5" s="142" t="s">
        <v>106</v>
      </c>
      <c r="JC5" s="143"/>
      <c r="JD5" s="143"/>
      <c r="JE5" s="143"/>
      <c r="JF5" s="144"/>
      <c r="JG5" s="142" t="s">
        <v>107</v>
      </c>
      <c r="JH5" s="143"/>
      <c r="JI5" s="143"/>
      <c r="JJ5" s="143"/>
      <c r="JK5" s="144"/>
      <c r="JL5" s="142" t="s">
        <v>108</v>
      </c>
      <c r="JM5" s="143"/>
      <c r="JN5" s="143"/>
      <c r="JO5" s="143"/>
      <c r="JP5" s="144"/>
      <c r="JQ5" s="142" t="s">
        <v>109</v>
      </c>
      <c r="JR5" s="143"/>
      <c r="JS5" s="143"/>
      <c r="JT5" s="143"/>
      <c r="JU5" s="144"/>
      <c r="JV5" s="142" t="s">
        <v>110</v>
      </c>
      <c r="JW5" s="143"/>
      <c r="JX5" s="143"/>
      <c r="JY5" s="143"/>
      <c r="JZ5" s="144"/>
      <c r="KA5" s="142" t="s">
        <v>111</v>
      </c>
      <c r="KB5" s="143"/>
      <c r="KC5" s="143"/>
      <c r="KD5" s="143"/>
      <c r="KE5" s="144"/>
      <c r="KF5" s="121" t="s">
        <v>112</v>
      </c>
      <c r="KG5" s="121"/>
      <c r="KH5" s="121"/>
      <c r="KI5" s="121"/>
      <c r="KJ5" s="121"/>
      <c r="KK5" s="121" t="s">
        <v>113</v>
      </c>
      <c r="KL5" s="121"/>
      <c r="KM5" s="121"/>
      <c r="KN5" s="121"/>
      <c r="KO5" s="121"/>
      <c r="KP5" s="121" t="s">
        <v>114</v>
      </c>
      <c r="KQ5" s="121"/>
      <c r="KR5" s="121"/>
      <c r="KS5" s="121"/>
      <c r="KT5" s="121"/>
      <c r="KU5" s="121" t="s">
        <v>115</v>
      </c>
      <c r="KV5" s="121"/>
      <c r="KW5" s="121"/>
      <c r="KX5" s="121"/>
      <c r="KY5" s="121"/>
      <c r="KZ5" s="121" t="s">
        <v>116</v>
      </c>
      <c r="LA5" s="121"/>
      <c r="LB5" s="121"/>
      <c r="LC5" s="121"/>
      <c r="LD5" s="121"/>
      <c r="LE5" s="121" t="s">
        <v>117</v>
      </c>
      <c r="LF5" s="121"/>
      <c r="LG5" s="121"/>
      <c r="LH5" s="121"/>
      <c r="LI5" s="121"/>
      <c r="LJ5" s="121" t="s">
        <v>118</v>
      </c>
      <c r="LK5" s="121"/>
      <c r="LL5" s="121"/>
      <c r="LM5" s="121"/>
      <c r="LN5" s="121"/>
      <c r="LO5" s="121" t="s">
        <v>119</v>
      </c>
      <c r="LP5" s="121"/>
      <c r="LQ5" s="121"/>
      <c r="LR5" s="121"/>
      <c r="LS5" s="121"/>
      <c r="LT5" s="121" t="s">
        <v>120</v>
      </c>
      <c r="LU5" s="121"/>
      <c r="LV5" s="121"/>
      <c r="LW5" s="121"/>
      <c r="LX5" s="121"/>
      <c r="LY5" s="121" t="s">
        <v>121</v>
      </c>
      <c r="LZ5" s="121"/>
      <c r="MA5" s="121"/>
      <c r="MB5" s="121"/>
      <c r="MC5" s="121"/>
      <c r="MD5" s="121" t="s">
        <v>122</v>
      </c>
      <c r="ME5" s="121"/>
      <c r="MF5" s="121"/>
      <c r="MG5" s="121"/>
      <c r="MH5" s="121"/>
      <c r="MI5" s="121" t="s">
        <v>123</v>
      </c>
      <c r="MJ5" s="121"/>
      <c r="MK5" s="121"/>
      <c r="ML5" s="121"/>
      <c r="MM5" s="121"/>
      <c r="MN5" s="121" t="s">
        <v>124</v>
      </c>
      <c r="MO5" s="121"/>
      <c r="MP5" s="121"/>
      <c r="MQ5" s="121"/>
      <c r="MR5" s="121"/>
      <c r="MS5" s="121" t="s">
        <v>125</v>
      </c>
      <c r="MT5" s="121"/>
      <c r="MU5" s="121"/>
      <c r="MV5" s="121"/>
      <c r="MW5" s="121"/>
      <c r="MX5" s="121" t="s">
        <v>126</v>
      </c>
      <c r="MY5" s="121"/>
      <c r="MZ5" s="121"/>
      <c r="NA5" s="121"/>
      <c r="NB5" s="121"/>
      <c r="NC5" s="121" t="s">
        <v>127</v>
      </c>
      <c r="ND5" s="121"/>
      <c r="NE5" s="121"/>
      <c r="NF5" s="121"/>
      <c r="NG5" s="121"/>
      <c r="NH5" s="121" t="s">
        <v>148</v>
      </c>
      <c r="NI5" s="121"/>
      <c r="NJ5" s="121"/>
      <c r="NK5" s="121"/>
      <c r="NL5" s="121"/>
      <c r="NM5" s="129" t="s">
        <v>12</v>
      </c>
      <c r="NN5" s="130"/>
      <c r="NO5" s="130"/>
      <c r="NP5" s="131"/>
      <c r="NQ5" s="123" t="s">
        <v>149</v>
      </c>
      <c r="NR5" s="124"/>
      <c r="NS5" s="124"/>
      <c r="NT5" s="125"/>
      <c r="NU5" s="41"/>
    </row>
    <row r="6" spans="1:386" ht="32.25" customHeight="1">
      <c r="A6" s="84"/>
      <c r="B6" s="149"/>
      <c r="C6" s="34" t="s">
        <v>53</v>
      </c>
      <c r="D6" s="38" t="s">
        <v>2</v>
      </c>
      <c r="E6" s="38" t="s">
        <v>3</v>
      </c>
      <c r="F6" s="34" t="s">
        <v>4</v>
      </c>
      <c r="G6" s="34" t="s">
        <v>53</v>
      </c>
      <c r="H6" s="38" t="s">
        <v>2</v>
      </c>
      <c r="I6" s="38" t="s">
        <v>3</v>
      </c>
      <c r="J6" s="34" t="s">
        <v>4</v>
      </c>
      <c r="K6" s="34" t="s">
        <v>5</v>
      </c>
      <c r="L6" s="34" t="s">
        <v>53</v>
      </c>
      <c r="M6" s="38" t="s">
        <v>2</v>
      </c>
      <c r="N6" s="38" t="s">
        <v>3</v>
      </c>
      <c r="O6" s="34" t="s">
        <v>4</v>
      </c>
      <c r="P6" s="34" t="s">
        <v>5</v>
      </c>
      <c r="Q6" s="34" t="s">
        <v>53</v>
      </c>
      <c r="R6" s="38" t="s">
        <v>2</v>
      </c>
      <c r="S6" s="38" t="s">
        <v>3</v>
      </c>
      <c r="T6" s="34" t="s">
        <v>4</v>
      </c>
      <c r="U6" s="34" t="s">
        <v>5</v>
      </c>
      <c r="V6" s="34" t="s">
        <v>53</v>
      </c>
      <c r="W6" s="38" t="s">
        <v>2</v>
      </c>
      <c r="X6" s="38" t="s">
        <v>3</v>
      </c>
      <c r="Y6" s="34" t="s">
        <v>4</v>
      </c>
      <c r="Z6" s="34" t="s">
        <v>5</v>
      </c>
      <c r="AA6" s="34" t="s">
        <v>53</v>
      </c>
      <c r="AB6" s="38" t="s">
        <v>2</v>
      </c>
      <c r="AC6" s="38" t="s">
        <v>3</v>
      </c>
      <c r="AD6" s="34" t="s">
        <v>4</v>
      </c>
      <c r="AE6" s="34" t="s">
        <v>5</v>
      </c>
      <c r="AF6" s="34" t="s">
        <v>53</v>
      </c>
      <c r="AG6" s="38" t="s">
        <v>2</v>
      </c>
      <c r="AH6" s="38" t="s">
        <v>3</v>
      </c>
      <c r="AI6" s="34" t="s">
        <v>4</v>
      </c>
      <c r="AJ6" s="34" t="s">
        <v>5</v>
      </c>
      <c r="AK6" s="34" t="s">
        <v>53</v>
      </c>
      <c r="AL6" s="38" t="s">
        <v>2</v>
      </c>
      <c r="AM6" s="38" t="s">
        <v>3</v>
      </c>
      <c r="AN6" s="34" t="s">
        <v>4</v>
      </c>
      <c r="AO6" s="34" t="s">
        <v>5</v>
      </c>
      <c r="AP6" s="34" t="s">
        <v>53</v>
      </c>
      <c r="AQ6" s="38" t="s">
        <v>2</v>
      </c>
      <c r="AR6" s="38" t="s">
        <v>3</v>
      </c>
      <c r="AS6" s="34" t="s">
        <v>4</v>
      </c>
      <c r="AT6" s="34" t="s">
        <v>5</v>
      </c>
      <c r="AU6" s="34" t="s">
        <v>53</v>
      </c>
      <c r="AV6" s="38" t="s">
        <v>2</v>
      </c>
      <c r="AW6" s="38" t="s">
        <v>3</v>
      </c>
      <c r="AX6" s="34" t="s">
        <v>4</v>
      </c>
      <c r="AY6" s="34" t="s">
        <v>5</v>
      </c>
      <c r="AZ6" s="34" t="s">
        <v>53</v>
      </c>
      <c r="BA6" s="38" t="s">
        <v>2</v>
      </c>
      <c r="BB6" s="38" t="s">
        <v>3</v>
      </c>
      <c r="BC6" s="34" t="s">
        <v>4</v>
      </c>
      <c r="BD6" s="34" t="s">
        <v>5</v>
      </c>
      <c r="BE6" s="34" t="s">
        <v>53</v>
      </c>
      <c r="BF6" s="38" t="s">
        <v>2</v>
      </c>
      <c r="BG6" s="38" t="s">
        <v>3</v>
      </c>
      <c r="BH6" s="34" t="s">
        <v>4</v>
      </c>
      <c r="BI6" s="34" t="s">
        <v>5</v>
      </c>
      <c r="BJ6" s="34" t="s">
        <v>53</v>
      </c>
      <c r="BK6" s="38" t="s">
        <v>2</v>
      </c>
      <c r="BL6" s="38" t="s">
        <v>3</v>
      </c>
      <c r="BM6" s="38" t="s">
        <v>4</v>
      </c>
      <c r="BN6" s="34" t="s">
        <v>5</v>
      </c>
      <c r="BO6" s="34" t="s">
        <v>53</v>
      </c>
      <c r="BP6" s="38" t="s">
        <v>2</v>
      </c>
      <c r="BQ6" s="38" t="s">
        <v>3</v>
      </c>
      <c r="BR6" s="34" t="s">
        <v>4</v>
      </c>
      <c r="BS6" s="34" t="s">
        <v>5</v>
      </c>
      <c r="BT6" s="34" t="s">
        <v>53</v>
      </c>
      <c r="BU6" s="38" t="s">
        <v>2</v>
      </c>
      <c r="BV6" s="38" t="s">
        <v>3</v>
      </c>
      <c r="BW6" s="34" t="s">
        <v>4</v>
      </c>
      <c r="BX6" s="34" t="s">
        <v>5</v>
      </c>
      <c r="BY6" s="34" t="s">
        <v>53</v>
      </c>
      <c r="BZ6" s="38" t="s">
        <v>2</v>
      </c>
      <c r="CA6" s="38" t="s">
        <v>3</v>
      </c>
      <c r="CB6" s="34" t="s">
        <v>4</v>
      </c>
      <c r="CC6" s="34" t="s">
        <v>5</v>
      </c>
      <c r="CD6" s="34" t="s">
        <v>53</v>
      </c>
      <c r="CE6" s="38" t="s">
        <v>2</v>
      </c>
      <c r="CF6" s="38" t="s">
        <v>3</v>
      </c>
      <c r="CG6" s="34" t="s">
        <v>4</v>
      </c>
      <c r="CH6" s="34" t="s">
        <v>5</v>
      </c>
      <c r="CI6" s="34" t="s">
        <v>53</v>
      </c>
      <c r="CJ6" s="38" t="s">
        <v>2</v>
      </c>
      <c r="CK6" s="38" t="s">
        <v>3</v>
      </c>
      <c r="CL6" s="34" t="s">
        <v>4</v>
      </c>
      <c r="CM6" s="34" t="s">
        <v>5</v>
      </c>
      <c r="CN6" s="34" t="s">
        <v>53</v>
      </c>
      <c r="CO6" s="38" t="s">
        <v>2</v>
      </c>
      <c r="CP6" s="38" t="s">
        <v>3</v>
      </c>
      <c r="CQ6" s="34" t="s">
        <v>4</v>
      </c>
      <c r="CR6" s="34" t="s">
        <v>5</v>
      </c>
      <c r="CS6" s="34" t="s">
        <v>53</v>
      </c>
      <c r="CT6" s="38" t="s">
        <v>2</v>
      </c>
      <c r="CU6" s="38" t="s">
        <v>3</v>
      </c>
      <c r="CV6" s="34" t="s">
        <v>4</v>
      </c>
      <c r="CW6" s="34" t="s">
        <v>5</v>
      </c>
      <c r="CX6" s="34" t="s">
        <v>53</v>
      </c>
      <c r="CY6" s="38" t="s">
        <v>2</v>
      </c>
      <c r="CZ6" s="38" t="s">
        <v>3</v>
      </c>
      <c r="DA6" s="34" t="s">
        <v>4</v>
      </c>
      <c r="DB6" s="34" t="s">
        <v>5</v>
      </c>
      <c r="DC6" s="34" t="s">
        <v>53</v>
      </c>
      <c r="DD6" s="38" t="s">
        <v>2</v>
      </c>
      <c r="DE6" s="38" t="s">
        <v>3</v>
      </c>
      <c r="DF6" s="34" t="s">
        <v>4</v>
      </c>
      <c r="DG6" s="34" t="s">
        <v>5</v>
      </c>
      <c r="DH6" s="34" t="s">
        <v>53</v>
      </c>
      <c r="DI6" s="38" t="s">
        <v>2</v>
      </c>
      <c r="DJ6" s="38" t="s">
        <v>3</v>
      </c>
      <c r="DK6" s="34" t="s">
        <v>4</v>
      </c>
      <c r="DL6" s="34" t="s">
        <v>5</v>
      </c>
      <c r="DM6" s="34" t="s">
        <v>53</v>
      </c>
      <c r="DN6" s="38" t="s">
        <v>2</v>
      </c>
      <c r="DO6" s="38" t="s">
        <v>3</v>
      </c>
      <c r="DP6" s="34" t="s">
        <v>4</v>
      </c>
      <c r="DQ6" s="34" t="s">
        <v>5</v>
      </c>
      <c r="DR6" s="34" t="s">
        <v>53</v>
      </c>
      <c r="DS6" s="38" t="s">
        <v>2</v>
      </c>
      <c r="DT6" s="38" t="s">
        <v>3</v>
      </c>
      <c r="DU6" s="34" t="s">
        <v>4</v>
      </c>
      <c r="DV6" s="34" t="s">
        <v>5</v>
      </c>
      <c r="DW6" s="34" t="s">
        <v>53</v>
      </c>
      <c r="DX6" s="38" t="s">
        <v>2</v>
      </c>
      <c r="DY6" s="38" t="s">
        <v>3</v>
      </c>
      <c r="DZ6" s="34" t="s">
        <v>4</v>
      </c>
      <c r="EA6" s="34" t="s">
        <v>5</v>
      </c>
      <c r="EB6" s="34" t="s">
        <v>53</v>
      </c>
      <c r="EC6" s="38" t="s">
        <v>2</v>
      </c>
      <c r="ED6" s="38" t="s">
        <v>3</v>
      </c>
      <c r="EE6" s="34" t="s">
        <v>4</v>
      </c>
      <c r="EF6" s="34" t="s">
        <v>5</v>
      </c>
      <c r="EG6" s="34" t="s">
        <v>53</v>
      </c>
      <c r="EH6" s="38" t="s">
        <v>2</v>
      </c>
      <c r="EI6" s="38" t="s">
        <v>3</v>
      </c>
      <c r="EJ6" s="34" t="s">
        <v>4</v>
      </c>
      <c r="EK6" s="34" t="s">
        <v>5</v>
      </c>
      <c r="EL6" s="34" t="s">
        <v>53</v>
      </c>
      <c r="EM6" s="38" t="s">
        <v>2</v>
      </c>
      <c r="EN6" s="38" t="s">
        <v>3</v>
      </c>
      <c r="EO6" s="34" t="s">
        <v>4</v>
      </c>
      <c r="EP6" s="34" t="s">
        <v>5</v>
      </c>
      <c r="EQ6" s="34" t="s">
        <v>53</v>
      </c>
      <c r="ER6" s="38" t="s">
        <v>2</v>
      </c>
      <c r="ES6" s="38" t="s">
        <v>3</v>
      </c>
      <c r="ET6" s="34" t="s">
        <v>4</v>
      </c>
      <c r="EU6" s="34" t="s">
        <v>5</v>
      </c>
      <c r="EV6" s="34" t="s">
        <v>53</v>
      </c>
      <c r="EW6" s="38" t="s">
        <v>2</v>
      </c>
      <c r="EX6" s="38" t="s">
        <v>3</v>
      </c>
      <c r="EY6" s="34" t="s">
        <v>4</v>
      </c>
      <c r="EZ6" s="34" t="s">
        <v>5</v>
      </c>
      <c r="FA6" s="34" t="s">
        <v>53</v>
      </c>
      <c r="FB6" s="38" t="s">
        <v>2</v>
      </c>
      <c r="FC6" s="38" t="s">
        <v>3</v>
      </c>
      <c r="FD6" s="34" t="s">
        <v>4</v>
      </c>
      <c r="FE6" s="34" t="s">
        <v>5</v>
      </c>
      <c r="FF6" s="34" t="s">
        <v>53</v>
      </c>
      <c r="FG6" s="38" t="s">
        <v>2</v>
      </c>
      <c r="FH6" s="38" t="s">
        <v>3</v>
      </c>
      <c r="FI6" s="34" t="s">
        <v>4</v>
      </c>
      <c r="FJ6" s="34" t="s">
        <v>5</v>
      </c>
      <c r="FK6" s="34" t="s">
        <v>53</v>
      </c>
      <c r="FL6" s="38" t="s">
        <v>2</v>
      </c>
      <c r="FM6" s="38" t="s">
        <v>3</v>
      </c>
      <c r="FN6" s="34" t="s">
        <v>4</v>
      </c>
      <c r="FO6" s="34" t="s">
        <v>5</v>
      </c>
      <c r="FP6" s="34" t="s">
        <v>53</v>
      </c>
      <c r="FQ6" s="38" t="s">
        <v>2</v>
      </c>
      <c r="FR6" s="38" t="s">
        <v>3</v>
      </c>
      <c r="FS6" s="34" t="s">
        <v>4</v>
      </c>
      <c r="FT6" s="34" t="s">
        <v>5</v>
      </c>
      <c r="FU6" s="34" t="s">
        <v>53</v>
      </c>
      <c r="FV6" s="38" t="s">
        <v>2</v>
      </c>
      <c r="FW6" s="38" t="s">
        <v>3</v>
      </c>
      <c r="FX6" s="34" t="s">
        <v>4</v>
      </c>
      <c r="FY6" s="34" t="s">
        <v>5</v>
      </c>
      <c r="FZ6" s="34" t="s">
        <v>53</v>
      </c>
      <c r="GA6" s="38" t="s">
        <v>2</v>
      </c>
      <c r="GB6" s="38" t="s">
        <v>3</v>
      </c>
      <c r="GC6" s="34" t="s">
        <v>4</v>
      </c>
      <c r="GD6" s="34" t="s">
        <v>5</v>
      </c>
      <c r="GE6" s="34" t="s">
        <v>53</v>
      </c>
      <c r="GF6" s="38" t="s">
        <v>2</v>
      </c>
      <c r="GG6" s="38" t="s">
        <v>3</v>
      </c>
      <c r="GH6" s="34" t="s">
        <v>4</v>
      </c>
      <c r="GI6" s="34" t="s">
        <v>5</v>
      </c>
      <c r="GJ6" s="34" t="s">
        <v>53</v>
      </c>
      <c r="GK6" s="38" t="s">
        <v>2</v>
      </c>
      <c r="GL6" s="38" t="s">
        <v>3</v>
      </c>
      <c r="GM6" s="34" t="s">
        <v>4</v>
      </c>
      <c r="GN6" s="34" t="s">
        <v>5</v>
      </c>
      <c r="GO6" s="34" t="s">
        <v>53</v>
      </c>
      <c r="GP6" s="38" t="s">
        <v>2</v>
      </c>
      <c r="GQ6" s="38" t="s">
        <v>3</v>
      </c>
      <c r="GR6" s="34" t="s">
        <v>4</v>
      </c>
      <c r="GS6" s="34" t="s">
        <v>5</v>
      </c>
      <c r="GT6" s="34" t="s">
        <v>53</v>
      </c>
      <c r="GU6" s="38" t="s">
        <v>2</v>
      </c>
      <c r="GV6" s="38" t="s">
        <v>3</v>
      </c>
      <c r="GW6" s="34" t="s">
        <v>4</v>
      </c>
      <c r="GX6" s="34" t="s">
        <v>5</v>
      </c>
      <c r="GY6" s="34" t="s">
        <v>53</v>
      </c>
      <c r="GZ6" s="38" t="s">
        <v>2</v>
      </c>
      <c r="HA6" s="38" t="s">
        <v>3</v>
      </c>
      <c r="HB6" s="34" t="s">
        <v>4</v>
      </c>
      <c r="HC6" s="34" t="s">
        <v>5</v>
      </c>
      <c r="HD6" s="34" t="s">
        <v>53</v>
      </c>
      <c r="HE6" s="38" t="s">
        <v>2</v>
      </c>
      <c r="HF6" s="38" t="s">
        <v>3</v>
      </c>
      <c r="HG6" s="34" t="s">
        <v>4</v>
      </c>
      <c r="HH6" s="34" t="s">
        <v>5</v>
      </c>
      <c r="HI6" s="34" t="s">
        <v>53</v>
      </c>
      <c r="HJ6" s="38" t="s">
        <v>2</v>
      </c>
      <c r="HK6" s="38" t="s">
        <v>3</v>
      </c>
      <c r="HL6" s="34" t="s">
        <v>4</v>
      </c>
      <c r="HM6" s="34" t="s">
        <v>5</v>
      </c>
      <c r="HN6" s="34" t="s">
        <v>53</v>
      </c>
      <c r="HO6" s="38" t="s">
        <v>2</v>
      </c>
      <c r="HP6" s="38" t="s">
        <v>3</v>
      </c>
      <c r="HQ6" s="34" t="s">
        <v>4</v>
      </c>
      <c r="HR6" s="34" t="s">
        <v>5</v>
      </c>
      <c r="HS6" s="34" t="s">
        <v>53</v>
      </c>
      <c r="HT6" s="38" t="s">
        <v>2</v>
      </c>
      <c r="HU6" s="38" t="s">
        <v>3</v>
      </c>
      <c r="HV6" s="34" t="s">
        <v>4</v>
      </c>
      <c r="HW6" s="34" t="s">
        <v>5</v>
      </c>
      <c r="HX6" s="34" t="s">
        <v>53</v>
      </c>
      <c r="HY6" s="38" t="s">
        <v>2</v>
      </c>
      <c r="HZ6" s="38" t="s">
        <v>3</v>
      </c>
      <c r="IA6" s="34" t="s">
        <v>4</v>
      </c>
      <c r="IB6" s="34" t="s">
        <v>5</v>
      </c>
      <c r="IC6" s="34" t="s">
        <v>53</v>
      </c>
      <c r="ID6" s="38" t="s">
        <v>2</v>
      </c>
      <c r="IE6" s="38" t="s">
        <v>3</v>
      </c>
      <c r="IF6" s="34" t="s">
        <v>4</v>
      </c>
      <c r="IG6" s="34" t="s">
        <v>5</v>
      </c>
      <c r="IH6" s="34" t="s">
        <v>53</v>
      </c>
      <c r="II6" s="38" t="s">
        <v>2</v>
      </c>
      <c r="IJ6" s="38" t="s">
        <v>3</v>
      </c>
      <c r="IK6" s="34" t="s">
        <v>4</v>
      </c>
      <c r="IL6" s="34" t="s">
        <v>5</v>
      </c>
      <c r="IM6" s="34" t="s">
        <v>53</v>
      </c>
      <c r="IN6" s="38" t="s">
        <v>2</v>
      </c>
      <c r="IO6" s="38" t="s">
        <v>3</v>
      </c>
      <c r="IP6" s="34" t="s">
        <v>4</v>
      </c>
      <c r="IQ6" s="34" t="s">
        <v>5</v>
      </c>
      <c r="IR6" s="34" t="s">
        <v>53</v>
      </c>
      <c r="IS6" s="38" t="s">
        <v>2</v>
      </c>
      <c r="IT6" s="38" t="s">
        <v>3</v>
      </c>
      <c r="IU6" s="34" t="s">
        <v>4</v>
      </c>
      <c r="IV6" s="34" t="s">
        <v>5</v>
      </c>
      <c r="IW6" s="34" t="s">
        <v>53</v>
      </c>
      <c r="IX6" s="38" t="s">
        <v>2</v>
      </c>
      <c r="IY6" s="38" t="s">
        <v>3</v>
      </c>
      <c r="IZ6" s="34" t="s">
        <v>4</v>
      </c>
      <c r="JA6" s="34" t="s">
        <v>5</v>
      </c>
      <c r="JB6" s="34" t="s">
        <v>53</v>
      </c>
      <c r="JC6" s="38" t="s">
        <v>2</v>
      </c>
      <c r="JD6" s="38" t="s">
        <v>3</v>
      </c>
      <c r="JE6" s="34" t="s">
        <v>4</v>
      </c>
      <c r="JF6" s="34" t="s">
        <v>5</v>
      </c>
      <c r="JG6" s="34" t="s">
        <v>53</v>
      </c>
      <c r="JH6" s="38" t="s">
        <v>2</v>
      </c>
      <c r="JI6" s="38" t="s">
        <v>3</v>
      </c>
      <c r="JJ6" s="34" t="s">
        <v>4</v>
      </c>
      <c r="JK6" s="34" t="s">
        <v>5</v>
      </c>
      <c r="JL6" s="34" t="s">
        <v>53</v>
      </c>
      <c r="JM6" s="38" t="s">
        <v>2</v>
      </c>
      <c r="JN6" s="38" t="s">
        <v>3</v>
      </c>
      <c r="JO6" s="34" t="s">
        <v>4</v>
      </c>
      <c r="JP6" s="34" t="s">
        <v>5</v>
      </c>
      <c r="JQ6" s="34" t="s">
        <v>53</v>
      </c>
      <c r="JR6" s="38" t="s">
        <v>2</v>
      </c>
      <c r="JS6" s="38" t="s">
        <v>3</v>
      </c>
      <c r="JT6" s="34" t="s">
        <v>4</v>
      </c>
      <c r="JU6" s="34" t="s">
        <v>5</v>
      </c>
      <c r="JV6" s="34" t="s">
        <v>53</v>
      </c>
      <c r="JW6" s="38" t="s">
        <v>2</v>
      </c>
      <c r="JX6" s="38" t="s">
        <v>3</v>
      </c>
      <c r="JY6" s="34" t="s">
        <v>4</v>
      </c>
      <c r="JZ6" s="34" t="s">
        <v>5</v>
      </c>
      <c r="KA6" s="34" t="s">
        <v>53</v>
      </c>
      <c r="KB6" s="38" t="s">
        <v>2</v>
      </c>
      <c r="KC6" s="38" t="s">
        <v>3</v>
      </c>
      <c r="KD6" s="34" t="s">
        <v>4</v>
      </c>
      <c r="KE6" s="34" t="s">
        <v>5</v>
      </c>
      <c r="KF6" s="34" t="s">
        <v>53</v>
      </c>
      <c r="KG6" s="38" t="s">
        <v>2</v>
      </c>
      <c r="KH6" s="38" t="s">
        <v>3</v>
      </c>
      <c r="KI6" s="34" t="s">
        <v>4</v>
      </c>
      <c r="KJ6" s="34" t="s">
        <v>5</v>
      </c>
      <c r="KK6" s="34" t="s">
        <v>53</v>
      </c>
      <c r="KL6" s="38" t="s">
        <v>2</v>
      </c>
      <c r="KM6" s="38" t="s">
        <v>3</v>
      </c>
      <c r="KN6" s="34" t="s">
        <v>4</v>
      </c>
      <c r="KO6" s="34" t="s">
        <v>5</v>
      </c>
      <c r="KP6" s="34" t="s">
        <v>53</v>
      </c>
      <c r="KQ6" s="38" t="s">
        <v>2</v>
      </c>
      <c r="KR6" s="38" t="s">
        <v>3</v>
      </c>
      <c r="KS6" s="34" t="s">
        <v>4</v>
      </c>
      <c r="KT6" s="34" t="s">
        <v>5</v>
      </c>
      <c r="KU6" s="34" t="s">
        <v>53</v>
      </c>
      <c r="KV6" s="38" t="s">
        <v>2</v>
      </c>
      <c r="KW6" s="38" t="s">
        <v>3</v>
      </c>
      <c r="KX6" s="34" t="s">
        <v>4</v>
      </c>
      <c r="KY6" s="34" t="s">
        <v>5</v>
      </c>
      <c r="KZ6" s="34" t="s">
        <v>53</v>
      </c>
      <c r="LA6" s="38" t="s">
        <v>2</v>
      </c>
      <c r="LB6" s="38" t="s">
        <v>3</v>
      </c>
      <c r="LC6" s="34" t="s">
        <v>4</v>
      </c>
      <c r="LD6" s="34" t="s">
        <v>5</v>
      </c>
      <c r="LE6" s="34" t="s">
        <v>53</v>
      </c>
      <c r="LF6" s="38" t="s">
        <v>2</v>
      </c>
      <c r="LG6" s="38" t="s">
        <v>3</v>
      </c>
      <c r="LH6" s="34" t="s">
        <v>4</v>
      </c>
      <c r="LI6" s="34" t="s">
        <v>5</v>
      </c>
      <c r="LJ6" s="34" t="s">
        <v>53</v>
      </c>
      <c r="LK6" s="38" t="s">
        <v>2</v>
      </c>
      <c r="LL6" s="38" t="s">
        <v>3</v>
      </c>
      <c r="LM6" s="34" t="s">
        <v>4</v>
      </c>
      <c r="LN6" s="34" t="s">
        <v>5</v>
      </c>
      <c r="LO6" s="34" t="s">
        <v>53</v>
      </c>
      <c r="LP6" s="38" t="s">
        <v>2</v>
      </c>
      <c r="LQ6" s="38" t="s">
        <v>3</v>
      </c>
      <c r="LR6" s="34" t="s">
        <v>4</v>
      </c>
      <c r="LS6" s="34" t="s">
        <v>5</v>
      </c>
      <c r="LT6" s="34" t="s">
        <v>53</v>
      </c>
      <c r="LU6" s="38" t="s">
        <v>2</v>
      </c>
      <c r="LV6" s="38" t="s">
        <v>3</v>
      </c>
      <c r="LW6" s="34" t="s">
        <v>4</v>
      </c>
      <c r="LX6" s="34" t="s">
        <v>5</v>
      </c>
      <c r="LY6" s="34" t="s">
        <v>53</v>
      </c>
      <c r="LZ6" s="38" t="s">
        <v>2</v>
      </c>
      <c r="MA6" s="38" t="s">
        <v>3</v>
      </c>
      <c r="MB6" s="34" t="s">
        <v>4</v>
      </c>
      <c r="MC6" s="34" t="s">
        <v>5</v>
      </c>
      <c r="MD6" s="34" t="s">
        <v>53</v>
      </c>
      <c r="ME6" s="38" t="s">
        <v>2</v>
      </c>
      <c r="MF6" s="38" t="s">
        <v>3</v>
      </c>
      <c r="MG6" s="34" t="s">
        <v>4</v>
      </c>
      <c r="MH6" s="34" t="s">
        <v>5</v>
      </c>
      <c r="MI6" s="34" t="s">
        <v>53</v>
      </c>
      <c r="MJ6" s="38" t="s">
        <v>2</v>
      </c>
      <c r="MK6" s="38" t="s">
        <v>3</v>
      </c>
      <c r="ML6" s="34" t="s">
        <v>4</v>
      </c>
      <c r="MM6" s="34" t="s">
        <v>5</v>
      </c>
      <c r="MN6" s="34" t="s">
        <v>53</v>
      </c>
      <c r="MO6" s="38" t="s">
        <v>2</v>
      </c>
      <c r="MP6" s="38" t="s">
        <v>3</v>
      </c>
      <c r="MQ6" s="34" t="s">
        <v>4</v>
      </c>
      <c r="MR6" s="34" t="s">
        <v>5</v>
      </c>
      <c r="MS6" s="34" t="s">
        <v>53</v>
      </c>
      <c r="MT6" s="38" t="s">
        <v>2</v>
      </c>
      <c r="MU6" s="38" t="s">
        <v>3</v>
      </c>
      <c r="MV6" s="34" t="s">
        <v>4</v>
      </c>
      <c r="MW6" s="34" t="s">
        <v>5</v>
      </c>
      <c r="MX6" s="34" t="s">
        <v>53</v>
      </c>
      <c r="MY6" s="38" t="s">
        <v>2</v>
      </c>
      <c r="MZ6" s="38" t="s">
        <v>3</v>
      </c>
      <c r="NA6" s="34" t="s">
        <v>4</v>
      </c>
      <c r="NB6" s="34" t="s">
        <v>5</v>
      </c>
      <c r="NC6" s="34" t="s">
        <v>53</v>
      </c>
      <c r="ND6" s="38" t="s">
        <v>2</v>
      </c>
      <c r="NE6" s="38" t="s">
        <v>3</v>
      </c>
      <c r="NF6" s="34" t="s">
        <v>4</v>
      </c>
      <c r="NG6" s="34" t="s">
        <v>5</v>
      </c>
      <c r="NH6" s="34" t="s">
        <v>53</v>
      </c>
      <c r="NI6" s="38" t="s">
        <v>2</v>
      </c>
      <c r="NJ6" s="38" t="s">
        <v>3</v>
      </c>
      <c r="NK6" s="34" t="s">
        <v>4</v>
      </c>
      <c r="NL6" s="34" t="s">
        <v>5</v>
      </c>
      <c r="NM6" s="49" t="s">
        <v>2</v>
      </c>
      <c r="NN6" s="49" t="s">
        <v>3</v>
      </c>
      <c r="NO6" s="49" t="s">
        <v>4</v>
      </c>
      <c r="NP6" s="49" t="s">
        <v>5</v>
      </c>
      <c r="NQ6" s="38" t="s">
        <v>2</v>
      </c>
      <c r="NR6" s="38" t="s">
        <v>3</v>
      </c>
      <c r="NS6" s="34" t="s">
        <v>4</v>
      </c>
      <c r="NT6" s="34" t="s">
        <v>5</v>
      </c>
      <c r="NU6" s="84"/>
    </row>
    <row r="7" spans="1:386" ht="31.5" customHeight="1" thickBot="1">
      <c r="A7" s="41"/>
      <c r="B7" s="35" t="s">
        <v>13</v>
      </c>
      <c r="C7" s="36">
        <v>39565565</v>
      </c>
      <c r="D7" s="36">
        <v>1510041</v>
      </c>
      <c r="E7" s="36">
        <v>1397940</v>
      </c>
      <c r="F7" s="36">
        <v>112101</v>
      </c>
      <c r="G7" s="36">
        <v>39782895</v>
      </c>
      <c r="H7" s="36">
        <v>1613641</v>
      </c>
      <c r="I7" s="36">
        <v>1396311</v>
      </c>
      <c r="J7" s="36">
        <v>217330</v>
      </c>
      <c r="K7" s="47">
        <v>0.54929077625274658</v>
      </c>
      <c r="L7" s="36">
        <v>39487935</v>
      </c>
      <c r="M7" s="36">
        <v>1459403</v>
      </c>
      <c r="N7" s="36">
        <v>1754363</v>
      </c>
      <c r="O7" s="36">
        <v>-294960</v>
      </c>
      <c r="P7" s="47">
        <v>-0.74142414331436157</v>
      </c>
      <c r="Q7" s="36">
        <v>38506594</v>
      </c>
      <c r="R7" s="36">
        <v>664774</v>
      </c>
      <c r="S7" s="36">
        <v>1646115</v>
      </c>
      <c r="T7" s="36">
        <v>-981341</v>
      </c>
      <c r="U7" s="47">
        <v>-2.4851667881011963</v>
      </c>
      <c r="V7" s="36">
        <v>38108365</v>
      </c>
      <c r="W7" s="36">
        <v>761742</v>
      </c>
      <c r="X7" s="36">
        <v>1159971</v>
      </c>
      <c r="Y7" s="36">
        <v>-398229</v>
      </c>
      <c r="Z7" s="47">
        <v>-1.0341838598251343</v>
      </c>
      <c r="AA7" s="36">
        <v>38054988</v>
      </c>
      <c r="AB7" s="36">
        <v>962278</v>
      </c>
      <c r="AC7" s="36">
        <v>1015655</v>
      </c>
      <c r="AD7" s="36">
        <v>-53377</v>
      </c>
      <c r="AE7" s="47">
        <v>-0.14006635546684265</v>
      </c>
      <c r="AF7" s="36">
        <v>38163493</v>
      </c>
      <c r="AG7" s="36">
        <v>1177080</v>
      </c>
      <c r="AH7" s="36">
        <v>1068575</v>
      </c>
      <c r="AI7" s="36">
        <v>108505</v>
      </c>
      <c r="AJ7" s="47">
        <v>0.28512689471244812</v>
      </c>
      <c r="AK7" s="36">
        <v>38378102</v>
      </c>
      <c r="AL7" s="36">
        <v>1328863</v>
      </c>
      <c r="AM7" s="36">
        <v>1114254</v>
      </c>
      <c r="AN7" s="36">
        <v>214609</v>
      </c>
      <c r="AO7" s="47">
        <v>0.56234109401702881</v>
      </c>
      <c r="AP7" s="36">
        <v>38677820</v>
      </c>
      <c r="AQ7" s="36">
        <v>1490664</v>
      </c>
      <c r="AR7" s="36">
        <v>1190946</v>
      </c>
      <c r="AS7" s="36">
        <v>299718</v>
      </c>
      <c r="AT7" s="47">
        <v>0.78096097707748413</v>
      </c>
      <c r="AU7" s="36">
        <v>39043829</v>
      </c>
      <c r="AV7" s="36">
        <v>1662455</v>
      </c>
      <c r="AW7" s="36">
        <v>1296446</v>
      </c>
      <c r="AX7" s="36">
        <v>366009</v>
      </c>
      <c r="AY7" s="47">
        <v>0.94630205631256104</v>
      </c>
      <c r="AZ7" s="36">
        <v>39420239</v>
      </c>
      <c r="BA7" s="36">
        <v>1655405</v>
      </c>
      <c r="BB7" s="36">
        <v>1278995</v>
      </c>
      <c r="BC7" s="36">
        <v>376410</v>
      </c>
      <c r="BD7" s="47">
        <v>0.96407037973403931</v>
      </c>
      <c r="BE7" s="36">
        <v>39263983</v>
      </c>
      <c r="BF7" s="36">
        <v>1335469</v>
      </c>
      <c r="BG7" s="36">
        <v>1491725</v>
      </c>
      <c r="BH7" s="36">
        <v>-156256</v>
      </c>
      <c r="BI7" s="47">
        <v>-0.39638522267341614</v>
      </c>
      <c r="BJ7" s="36">
        <v>39518482</v>
      </c>
      <c r="BK7" s="36">
        <v>1710878</v>
      </c>
      <c r="BL7" s="36">
        <v>1456379</v>
      </c>
      <c r="BM7" s="36">
        <v>254499</v>
      </c>
      <c r="BN7" s="47">
        <v>0.64817416667938232</v>
      </c>
      <c r="BO7" s="36">
        <v>39916326</v>
      </c>
      <c r="BP7" s="36">
        <v>1863742</v>
      </c>
      <c r="BQ7" s="36">
        <v>1465898</v>
      </c>
      <c r="BR7" s="36">
        <v>397844</v>
      </c>
      <c r="BS7" s="47">
        <v>1.0067290067672729</v>
      </c>
      <c r="BT7" s="36">
        <v>40070552</v>
      </c>
      <c r="BU7" s="36">
        <v>1758820</v>
      </c>
      <c r="BV7" s="36">
        <v>1604594</v>
      </c>
      <c r="BW7" s="36">
        <v>154226</v>
      </c>
      <c r="BX7" s="47">
        <v>0.38637322187423706</v>
      </c>
      <c r="BY7" s="36">
        <v>40160830</v>
      </c>
      <c r="BZ7" s="36">
        <v>1502890</v>
      </c>
      <c r="CA7" s="36">
        <v>1412612</v>
      </c>
      <c r="CB7" s="36">
        <v>90278</v>
      </c>
      <c r="CC7" s="47">
        <v>0.22529761493206024</v>
      </c>
      <c r="CD7" s="36">
        <v>40427502</v>
      </c>
      <c r="CE7" s="36">
        <v>1651326</v>
      </c>
      <c r="CF7" s="36">
        <v>1384654</v>
      </c>
      <c r="CG7" s="36">
        <v>266672</v>
      </c>
      <c r="CH7" s="47">
        <v>0.66401016712188721</v>
      </c>
      <c r="CI7" s="36">
        <v>40745651</v>
      </c>
      <c r="CJ7" s="36">
        <v>1698629</v>
      </c>
      <c r="CK7" s="36">
        <v>1380480</v>
      </c>
      <c r="CL7" s="36">
        <v>318149</v>
      </c>
      <c r="CM7" s="47">
        <v>0.78696179389953613</v>
      </c>
      <c r="CN7" s="36">
        <v>41052664</v>
      </c>
      <c r="CO7" s="36">
        <v>1765840</v>
      </c>
      <c r="CP7" s="36">
        <v>1458827</v>
      </c>
      <c r="CQ7" s="36">
        <v>307013</v>
      </c>
      <c r="CR7" s="47">
        <v>0.75348657369613647</v>
      </c>
      <c r="CS7" s="36">
        <v>41440503</v>
      </c>
      <c r="CT7" s="36">
        <v>1917831</v>
      </c>
      <c r="CU7" s="36">
        <v>1529992</v>
      </c>
      <c r="CV7" s="36">
        <v>387839</v>
      </c>
      <c r="CW7" s="47">
        <v>0.94473528861999512</v>
      </c>
      <c r="CX7" s="36">
        <v>41770641</v>
      </c>
      <c r="CY7" s="36">
        <v>1890278</v>
      </c>
      <c r="CZ7" s="36">
        <v>1560140</v>
      </c>
      <c r="DA7" s="36">
        <v>330138</v>
      </c>
      <c r="DB7" s="47">
        <v>0.79665541648864746</v>
      </c>
      <c r="DC7" s="36">
        <v>42023515</v>
      </c>
      <c r="DD7" s="36">
        <v>1841637</v>
      </c>
      <c r="DE7" s="36">
        <v>1588763</v>
      </c>
      <c r="DF7" s="36">
        <v>252874</v>
      </c>
      <c r="DG7" s="47">
        <v>0.60538691282272339</v>
      </c>
      <c r="DH7" s="36">
        <v>42337662</v>
      </c>
      <c r="DI7" s="36">
        <v>1861355</v>
      </c>
      <c r="DJ7" s="36">
        <v>1547208</v>
      </c>
      <c r="DK7" s="36">
        <v>314147</v>
      </c>
      <c r="DL7" s="47">
        <v>0.74755048751831055</v>
      </c>
      <c r="DM7" s="36">
        <v>42046342</v>
      </c>
      <c r="DN7" s="36">
        <v>1479612</v>
      </c>
      <c r="DO7" s="36">
        <v>1770932</v>
      </c>
      <c r="DP7" s="36">
        <v>-291320</v>
      </c>
      <c r="DQ7" s="47">
        <v>-0.6880871057510376</v>
      </c>
      <c r="DR7" s="36">
        <v>42213770</v>
      </c>
      <c r="DS7" s="36">
        <v>1850592</v>
      </c>
      <c r="DT7" s="36">
        <v>1683164</v>
      </c>
      <c r="DU7" s="36">
        <v>167428</v>
      </c>
      <c r="DV7" s="47">
        <v>0.39819872379302979</v>
      </c>
      <c r="DW7" s="36">
        <v>42567246</v>
      </c>
      <c r="DX7" s="36">
        <v>2088703</v>
      </c>
      <c r="DY7" s="36">
        <v>1735227</v>
      </c>
      <c r="DZ7" s="36">
        <v>353476</v>
      </c>
      <c r="EA7" s="47">
        <v>0.83734762668609619</v>
      </c>
      <c r="EB7" s="36">
        <v>42666414</v>
      </c>
      <c r="EC7" s="36">
        <v>2002081</v>
      </c>
      <c r="ED7" s="36">
        <v>1902913</v>
      </c>
      <c r="EE7" s="36">
        <v>99168</v>
      </c>
      <c r="EF7" s="47">
        <v>0.23296785354614258</v>
      </c>
      <c r="EG7" s="36">
        <v>42871912</v>
      </c>
      <c r="EH7" s="36">
        <v>1886443</v>
      </c>
      <c r="EI7" s="36">
        <v>1680945</v>
      </c>
      <c r="EJ7" s="36">
        <v>205498</v>
      </c>
      <c r="EK7" s="47">
        <v>0.48163878917694092</v>
      </c>
      <c r="EL7" s="36">
        <v>43149671</v>
      </c>
      <c r="EM7" s="36">
        <v>2001397</v>
      </c>
      <c r="EN7" s="36">
        <v>1723638</v>
      </c>
      <c r="EO7" s="36">
        <v>277759</v>
      </c>
      <c r="EP7" s="47">
        <v>0.64788109064102173</v>
      </c>
      <c r="EQ7" s="36">
        <v>43434924</v>
      </c>
      <c r="ER7" s="36">
        <v>1933105</v>
      </c>
      <c r="ES7" s="36">
        <v>1647852</v>
      </c>
      <c r="ET7" s="36">
        <v>285253</v>
      </c>
      <c r="EU7" s="47">
        <v>0.66107803583145142</v>
      </c>
      <c r="EV7" s="36">
        <v>43660303</v>
      </c>
      <c r="EW7" s="36">
        <v>1922369</v>
      </c>
      <c r="EX7" s="36">
        <v>1696990</v>
      </c>
      <c r="EY7" s="36">
        <v>225379</v>
      </c>
      <c r="EZ7" s="47">
        <v>0.51888889074325562</v>
      </c>
      <c r="FA7" s="36">
        <v>43949178</v>
      </c>
      <c r="FB7" s="36">
        <v>2084561</v>
      </c>
      <c r="FC7" s="36">
        <v>1795686</v>
      </c>
      <c r="FD7" s="36">
        <v>288875</v>
      </c>
      <c r="FE7" s="47">
        <v>0.66164225339889526</v>
      </c>
      <c r="FF7" s="36">
        <v>44227741</v>
      </c>
      <c r="FG7" s="36">
        <v>1952035</v>
      </c>
      <c r="FH7" s="36">
        <v>1673472</v>
      </c>
      <c r="FI7" s="36">
        <v>278563</v>
      </c>
      <c r="FJ7" s="47">
        <v>0.63382983207702637</v>
      </c>
      <c r="FK7" s="36">
        <v>44388209</v>
      </c>
      <c r="FL7" s="36">
        <v>1818649</v>
      </c>
      <c r="FM7" s="36">
        <v>1658181</v>
      </c>
      <c r="FN7" s="36">
        <v>160468</v>
      </c>
      <c r="FO7" s="47">
        <v>0.36282205581665039</v>
      </c>
      <c r="FP7" s="36">
        <v>44516190</v>
      </c>
      <c r="FQ7" s="36">
        <v>1773076</v>
      </c>
      <c r="FR7" s="36">
        <v>1645095</v>
      </c>
      <c r="FS7" s="36">
        <v>127981</v>
      </c>
      <c r="FT7" s="47">
        <v>0.28832206130027771</v>
      </c>
      <c r="FU7" s="36">
        <v>44061448</v>
      </c>
      <c r="FV7" s="36">
        <v>1408383</v>
      </c>
      <c r="FW7" s="36">
        <v>1863125</v>
      </c>
      <c r="FX7" s="36">
        <v>-454742</v>
      </c>
      <c r="FY7" s="47">
        <v>-1.0215204954147339</v>
      </c>
      <c r="FZ7" s="36">
        <v>44151559</v>
      </c>
      <c r="GA7" s="36">
        <v>1919707</v>
      </c>
      <c r="GB7" s="36">
        <v>1829596</v>
      </c>
      <c r="GC7" s="36">
        <v>90111</v>
      </c>
      <c r="GD7" s="47">
        <v>0.20451211929321289</v>
      </c>
      <c r="GE7" s="36">
        <v>44404025</v>
      </c>
      <c r="GF7" s="36">
        <v>1990213</v>
      </c>
      <c r="GG7" s="36">
        <v>1737747</v>
      </c>
      <c r="GH7" s="36">
        <v>252466</v>
      </c>
      <c r="GI7" s="47">
        <v>0.57181674242019653</v>
      </c>
      <c r="GJ7" s="36">
        <v>44599053</v>
      </c>
      <c r="GK7" s="36">
        <v>2204696</v>
      </c>
      <c r="GL7" s="36">
        <v>2009668</v>
      </c>
      <c r="GM7" s="36">
        <v>195028</v>
      </c>
      <c r="GN7" s="47">
        <v>0.43921244144439697</v>
      </c>
      <c r="GO7" s="36">
        <v>44781044</v>
      </c>
      <c r="GP7" s="36">
        <v>1900014</v>
      </c>
      <c r="GQ7" s="36">
        <v>1718023</v>
      </c>
      <c r="GR7" s="36">
        <v>181991</v>
      </c>
      <c r="GS7" s="47">
        <v>0.408060222864151</v>
      </c>
      <c r="GT7" s="36">
        <v>44937256</v>
      </c>
      <c r="GU7" s="36">
        <v>2024749</v>
      </c>
      <c r="GV7" s="36">
        <v>1868537</v>
      </c>
      <c r="GW7" s="36">
        <v>156212</v>
      </c>
      <c r="GX7" s="47">
        <v>0.34883511066436768</v>
      </c>
      <c r="GY7" s="36">
        <v>45093054</v>
      </c>
      <c r="GZ7" s="36">
        <v>1937226</v>
      </c>
      <c r="HA7" s="36">
        <v>1781428</v>
      </c>
      <c r="HB7" s="36">
        <v>155798</v>
      </c>
      <c r="HC7" s="47">
        <v>0.34670117497444153</v>
      </c>
      <c r="HD7" s="36">
        <v>45235420</v>
      </c>
      <c r="HE7" s="36">
        <v>1903179</v>
      </c>
      <c r="HF7" s="36">
        <v>1760813</v>
      </c>
      <c r="HG7" s="36">
        <v>142366</v>
      </c>
      <c r="HH7" s="47">
        <v>0.31571602821350098</v>
      </c>
      <c r="HI7" s="36">
        <v>45455360</v>
      </c>
      <c r="HJ7" s="36">
        <v>2117138</v>
      </c>
      <c r="HK7" s="36">
        <v>1897198</v>
      </c>
      <c r="HL7" s="36">
        <v>219940</v>
      </c>
      <c r="HM7" s="47">
        <v>0.48621192574501038</v>
      </c>
      <c r="HN7" s="36">
        <v>45660161</v>
      </c>
      <c r="HO7" s="36">
        <v>1941221</v>
      </c>
      <c r="HP7" s="36">
        <v>1736420</v>
      </c>
      <c r="HQ7" s="36">
        <v>204801</v>
      </c>
      <c r="HR7" s="47">
        <v>0.45055413246154785</v>
      </c>
      <c r="HS7" s="36">
        <v>45847373</v>
      </c>
      <c r="HT7" s="36">
        <v>1962991</v>
      </c>
      <c r="HU7" s="36">
        <v>1775779</v>
      </c>
      <c r="HV7" s="36">
        <v>187212</v>
      </c>
      <c r="HW7" s="47">
        <v>0.41001170873641968</v>
      </c>
      <c r="HX7" s="36">
        <v>45968910</v>
      </c>
      <c r="HY7" s="36">
        <v>1881512</v>
      </c>
      <c r="HZ7" s="36">
        <v>1759975</v>
      </c>
      <c r="IA7" s="36">
        <v>121537</v>
      </c>
      <c r="IB7" s="47">
        <v>0.26509043574333191</v>
      </c>
      <c r="IC7" s="36">
        <v>45517275</v>
      </c>
      <c r="ID7" s="36">
        <v>1514040</v>
      </c>
      <c r="IE7" s="36">
        <v>1965675</v>
      </c>
      <c r="IF7" s="36">
        <v>-451635</v>
      </c>
      <c r="IG7" s="47">
        <v>-0.9824792742729187</v>
      </c>
      <c r="IH7" s="36">
        <v>45690478</v>
      </c>
      <c r="II7" s="36">
        <v>2110697</v>
      </c>
      <c r="IJ7" s="36">
        <v>1937494</v>
      </c>
      <c r="IK7" s="36">
        <v>173203</v>
      </c>
      <c r="IL7" s="47">
        <v>0.38052144646644592</v>
      </c>
      <c r="IM7" s="36">
        <v>45998254</v>
      </c>
      <c r="IN7" s="36">
        <v>2276635</v>
      </c>
      <c r="IO7" s="36">
        <v>1968859</v>
      </c>
      <c r="IP7" s="36">
        <v>307776</v>
      </c>
      <c r="IQ7" s="47">
        <v>0.67361080646514893</v>
      </c>
      <c r="IR7" s="36">
        <v>46243853</v>
      </c>
      <c r="IS7" s="36">
        <v>2285403</v>
      </c>
      <c r="IT7" s="36">
        <v>2039804</v>
      </c>
      <c r="IU7" s="36">
        <v>245599</v>
      </c>
      <c r="IV7" s="47">
        <v>0.53393113613128662</v>
      </c>
      <c r="IW7" s="36">
        <v>46484112</v>
      </c>
      <c r="IX7" s="36">
        <v>2283136</v>
      </c>
      <c r="IY7" s="36">
        <v>2042877</v>
      </c>
      <c r="IZ7" s="36">
        <v>240259</v>
      </c>
      <c r="JA7" s="47">
        <v>0.51954799890518188</v>
      </c>
      <c r="JB7" s="36">
        <v>46623886</v>
      </c>
      <c r="JC7" s="36">
        <v>2142525</v>
      </c>
      <c r="JD7" s="36">
        <v>2002751</v>
      </c>
      <c r="JE7" s="36">
        <v>139774</v>
      </c>
      <c r="JF7" s="47">
        <v>0.30069199204444885</v>
      </c>
      <c r="JG7" s="36">
        <v>46830417</v>
      </c>
      <c r="JH7" s="36">
        <v>2092483</v>
      </c>
      <c r="JI7" s="36">
        <v>1885952</v>
      </c>
      <c r="JJ7" s="36">
        <v>206531</v>
      </c>
      <c r="JK7" s="47">
        <v>0.44297251105308533</v>
      </c>
      <c r="JL7" s="36">
        <v>47022147</v>
      </c>
      <c r="JM7" s="36">
        <v>2207020</v>
      </c>
      <c r="JN7" s="36">
        <v>2015290</v>
      </c>
      <c r="JO7" s="36">
        <v>191730</v>
      </c>
      <c r="JP7" s="47">
        <v>0.40941339731216431</v>
      </c>
      <c r="JQ7" s="36">
        <v>47261436</v>
      </c>
      <c r="JR7" s="36">
        <v>2254883</v>
      </c>
      <c r="JS7" s="36">
        <v>2015594</v>
      </c>
      <c r="JT7" s="36">
        <v>239289</v>
      </c>
      <c r="JU7" s="47">
        <v>0.50888574123382568</v>
      </c>
      <c r="JV7" s="36">
        <v>47513680</v>
      </c>
      <c r="JW7" s="36">
        <v>2184292</v>
      </c>
      <c r="JX7" s="36">
        <v>1932048</v>
      </c>
      <c r="JY7" s="36">
        <v>252244</v>
      </c>
      <c r="JZ7" s="47">
        <v>0.53372055292129517</v>
      </c>
      <c r="KA7" s="36">
        <v>47645163</v>
      </c>
      <c r="KB7" s="36">
        <v>2237483</v>
      </c>
      <c r="KC7" s="36">
        <v>2106000</v>
      </c>
      <c r="KD7" s="36">
        <v>131483</v>
      </c>
      <c r="KE7" s="47">
        <v>0.27672663331031799</v>
      </c>
      <c r="KF7" s="36">
        <v>47751322</v>
      </c>
      <c r="KG7" s="36">
        <v>1996558</v>
      </c>
      <c r="KH7" s="36">
        <v>1890399</v>
      </c>
      <c r="KI7" s="36">
        <v>106159</v>
      </c>
      <c r="KJ7" s="47">
        <v>0.22281169891357422</v>
      </c>
      <c r="KK7" s="36">
        <v>47196060</v>
      </c>
      <c r="KL7" s="36">
        <v>1535111</v>
      </c>
      <c r="KM7" s="36">
        <v>2090373</v>
      </c>
      <c r="KN7" s="36">
        <v>-555262</v>
      </c>
      <c r="KO7" s="47">
        <v>-1.1628202199935913</v>
      </c>
      <c r="KP7" s="36">
        <v>47350685</v>
      </c>
      <c r="KQ7" s="36">
        <v>2316499</v>
      </c>
      <c r="KR7" s="36">
        <v>2161874</v>
      </c>
      <c r="KS7" s="36">
        <v>154625</v>
      </c>
      <c r="KT7" s="47">
        <v>0.3276226818561554</v>
      </c>
      <c r="KU7" s="36">
        <v>47791185</v>
      </c>
      <c r="KV7" s="36">
        <v>2615813</v>
      </c>
      <c r="KW7" s="36">
        <v>2175313</v>
      </c>
      <c r="KX7" s="36">
        <v>440500</v>
      </c>
      <c r="KY7" s="47">
        <v>0.93029278516769409</v>
      </c>
      <c r="KZ7" s="36">
        <v>47871179</v>
      </c>
      <c r="LA7" s="36">
        <v>2261485</v>
      </c>
      <c r="LB7" s="36">
        <v>2181491</v>
      </c>
      <c r="LC7" s="36">
        <v>79994</v>
      </c>
      <c r="LD7" s="47">
        <v>0.16738232970237732</v>
      </c>
      <c r="LE7" s="36">
        <v>48109131</v>
      </c>
      <c r="LF7" s="36">
        <v>2324143</v>
      </c>
      <c r="LG7" s="36">
        <v>2086191</v>
      </c>
      <c r="LH7" s="36">
        <v>237952</v>
      </c>
      <c r="LI7" s="47">
        <v>0.49706736207008362</v>
      </c>
      <c r="LJ7" s="36">
        <v>48261649</v>
      </c>
      <c r="LK7" s="36">
        <v>2282177</v>
      </c>
      <c r="LL7" s="36">
        <v>2129659</v>
      </c>
      <c r="LM7" s="36">
        <v>152518</v>
      </c>
      <c r="LN7" s="47">
        <v>0.31702506542205811</v>
      </c>
      <c r="LO7" s="36">
        <v>48423279</v>
      </c>
      <c r="LP7" s="36">
        <v>2168192</v>
      </c>
      <c r="LQ7" s="36">
        <v>2006562</v>
      </c>
      <c r="LR7" s="36">
        <v>161630</v>
      </c>
      <c r="LS7" s="47">
        <v>0.33490359783172607</v>
      </c>
      <c r="LT7" s="36">
        <v>48557399</v>
      </c>
      <c r="LU7" s="36">
        <v>2270294</v>
      </c>
      <c r="LV7" s="36">
        <v>2136174</v>
      </c>
      <c r="LW7" s="36">
        <v>134120</v>
      </c>
      <c r="LX7" s="47">
        <v>0.27697423100471497</v>
      </c>
      <c r="LY7" s="36">
        <v>48709962</v>
      </c>
      <c r="LZ7" s="36">
        <v>2261698</v>
      </c>
      <c r="MA7" s="36">
        <v>2109135</v>
      </c>
      <c r="MB7" s="36">
        <v>152563</v>
      </c>
      <c r="MC7" s="47">
        <v>0.31419104337692261</v>
      </c>
      <c r="MD7" s="36">
        <v>48923929</v>
      </c>
      <c r="ME7" s="36">
        <v>2306664</v>
      </c>
      <c r="MF7" s="36">
        <v>2092697</v>
      </c>
      <c r="MG7" s="36">
        <v>213967</v>
      </c>
      <c r="MH7" s="47">
        <v>0.43926742672920227</v>
      </c>
      <c r="MI7" s="36">
        <v>49017468</v>
      </c>
      <c r="MJ7" s="36">
        <v>2294486</v>
      </c>
      <c r="MK7" s="36">
        <v>2200947</v>
      </c>
      <c r="ML7" s="36">
        <v>93539</v>
      </c>
      <c r="MM7" s="47">
        <v>0.19119274616241455</v>
      </c>
      <c r="MN7" s="36">
        <v>49100609</v>
      </c>
      <c r="MO7" s="36">
        <v>1994656</v>
      </c>
      <c r="MP7" s="36">
        <v>1911515</v>
      </c>
      <c r="MQ7" s="36">
        <v>83141</v>
      </c>
      <c r="MR7" s="109">
        <v>0.16961504518985748</v>
      </c>
      <c r="MS7" s="36">
        <v>48469261</v>
      </c>
      <c r="MT7" s="36">
        <v>1534597</v>
      </c>
      <c r="MU7" s="36">
        <v>2165945</v>
      </c>
      <c r="MV7" s="36">
        <v>-631348</v>
      </c>
      <c r="MW7" s="109">
        <v>-1.2858251333236694</v>
      </c>
      <c r="MX7" s="36">
        <v>48586042</v>
      </c>
      <c r="MY7" s="36">
        <v>2243317</v>
      </c>
      <c r="MZ7" s="36">
        <v>2126536</v>
      </c>
      <c r="NA7" s="36">
        <v>116781</v>
      </c>
      <c r="NB7" s="109">
        <v>0.24093827605247498</v>
      </c>
      <c r="NC7" s="36">
        <v>48854426</v>
      </c>
      <c r="ND7" s="36">
        <v>2413036</v>
      </c>
      <c r="NE7" s="36">
        <v>2144652</v>
      </c>
      <c r="NF7" s="36">
        <v>268384</v>
      </c>
      <c r="NG7" s="109">
        <v>0.55238908529281616</v>
      </c>
      <c r="NH7" s="36">
        <v>49082634</v>
      </c>
      <c r="NI7" s="36">
        <v>2526660</v>
      </c>
      <c r="NJ7" s="36">
        <v>2298452</v>
      </c>
      <c r="NK7" s="36">
        <v>228208</v>
      </c>
      <c r="NL7" s="109">
        <v>0.46711838245391846</v>
      </c>
      <c r="NM7" s="36">
        <f>SUM(ND7,MY7,NI7)</f>
        <v>7183013</v>
      </c>
      <c r="NN7" s="36">
        <f t="shared" ref="NN7:NO7" si="0">SUM(NE7,MZ7,NJ7)</f>
        <v>6569640</v>
      </c>
      <c r="NO7" s="36">
        <f t="shared" si="0"/>
        <v>613373</v>
      </c>
      <c r="NP7" s="109">
        <f>(NO7/MS7)*100</f>
        <v>1.2654886568210726</v>
      </c>
      <c r="NQ7" s="36">
        <f>SUM(MO7,MJ7,ME7,LZ7,LU7,LP7,LK7,LF7,MT7,MY7,ND7,NI7)</f>
        <v>26619920</v>
      </c>
      <c r="NR7" s="36">
        <f t="shared" ref="NR7:NS7" si="1">SUM(MP7,MK7,MF7,MA7,LV7,LQ7,LL7,LG7,MU7,MZ7,NE7,NJ7)</f>
        <v>25408465</v>
      </c>
      <c r="NS7" s="36">
        <f t="shared" si="1"/>
        <v>1211455</v>
      </c>
      <c r="NT7" s="109">
        <f>NS7/(NH7-NS7)*100</f>
        <v>2.5306562848598317</v>
      </c>
      <c r="NU7" s="41"/>
      <c r="NV7" s="48"/>
    </row>
    <row r="8" spans="1:386" ht="31.5" customHeight="1" thickTop="1">
      <c r="A8" s="41"/>
      <c r="B8" s="85" t="s">
        <v>14</v>
      </c>
      <c r="C8" s="86">
        <v>1827342</v>
      </c>
      <c r="D8" s="86">
        <v>64536</v>
      </c>
      <c r="E8" s="86">
        <v>61145</v>
      </c>
      <c r="F8" s="86">
        <v>3391</v>
      </c>
      <c r="G8" s="86">
        <v>1838450</v>
      </c>
      <c r="H8" s="86">
        <v>68349</v>
      </c>
      <c r="I8" s="86">
        <v>57241</v>
      </c>
      <c r="J8" s="86">
        <v>11108</v>
      </c>
      <c r="K8" s="87">
        <v>0.60787743330001831</v>
      </c>
      <c r="L8" s="86">
        <v>1830916</v>
      </c>
      <c r="M8" s="86">
        <v>60428</v>
      </c>
      <c r="N8" s="86">
        <v>67962</v>
      </c>
      <c r="O8" s="86">
        <v>-7534</v>
      </c>
      <c r="P8" s="87">
        <v>-0.40980172157287598</v>
      </c>
      <c r="Q8" s="86">
        <v>1797945</v>
      </c>
      <c r="R8" s="86">
        <v>30924</v>
      </c>
      <c r="S8" s="86">
        <v>63895</v>
      </c>
      <c r="T8" s="86">
        <v>-32971</v>
      </c>
      <c r="U8" s="87">
        <v>-1.8007925748825073</v>
      </c>
      <c r="V8" s="86">
        <v>1785073</v>
      </c>
      <c r="W8" s="86">
        <v>36166</v>
      </c>
      <c r="X8" s="86">
        <v>49038</v>
      </c>
      <c r="Y8" s="86">
        <v>-12872</v>
      </c>
      <c r="Z8" s="87">
        <v>-0.71592843532562256</v>
      </c>
      <c r="AA8" s="86">
        <v>1790851</v>
      </c>
      <c r="AB8" s="86">
        <v>50359</v>
      </c>
      <c r="AC8" s="86">
        <v>44581</v>
      </c>
      <c r="AD8" s="86">
        <v>5778</v>
      </c>
      <c r="AE8" s="87">
        <v>0.32368424534797668</v>
      </c>
      <c r="AF8" s="86">
        <v>1806739</v>
      </c>
      <c r="AG8" s="86">
        <v>65477</v>
      </c>
      <c r="AH8" s="86">
        <v>49589</v>
      </c>
      <c r="AI8" s="86">
        <v>15888</v>
      </c>
      <c r="AJ8" s="87">
        <v>0.88717597723007202</v>
      </c>
      <c r="AK8" s="86">
        <v>1829832</v>
      </c>
      <c r="AL8" s="86">
        <v>72652</v>
      </c>
      <c r="AM8" s="86">
        <v>49559</v>
      </c>
      <c r="AN8" s="86">
        <v>23093</v>
      </c>
      <c r="AO8" s="87">
        <v>1.2781591415405273</v>
      </c>
      <c r="AP8" s="86">
        <v>1851955</v>
      </c>
      <c r="AQ8" s="86">
        <v>75611</v>
      </c>
      <c r="AR8" s="86">
        <v>53488</v>
      </c>
      <c r="AS8" s="86">
        <v>22123</v>
      </c>
      <c r="AT8" s="87">
        <v>1.2090181112289429</v>
      </c>
      <c r="AU8" s="86">
        <v>1873093</v>
      </c>
      <c r="AV8" s="86">
        <v>79563</v>
      </c>
      <c r="AW8" s="86">
        <v>58425</v>
      </c>
      <c r="AX8" s="86">
        <v>21138</v>
      </c>
      <c r="AY8" s="87">
        <v>1.1413884162902832</v>
      </c>
      <c r="AZ8" s="86">
        <v>1887855</v>
      </c>
      <c r="BA8" s="86">
        <v>74197</v>
      </c>
      <c r="BB8" s="86">
        <v>59435</v>
      </c>
      <c r="BC8" s="86">
        <v>14762</v>
      </c>
      <c r="BD8" s="87">
        <v>0.788108229637146</v>
      </c>
      <c r="BE8" s="86">
        <v>1876355</v>
      </c>
      <c r="BF8" s="86">
        <v>57665</v>
      </c>
      <c r="BG8" s="86">
        <v>69165</v>
      </c>
      <c r="BH8" s="86">
        <v>-11500</v>
      </c>
      <c r="BI8" s="87">
        <v>-0.60915696620941162</v>
      </c>
      <c r="BJ8" s="86">
        <v>1885371</v>
      </c>
      <c r="BK8" s="86">
        <v>75405</v>
      </c>
      <c r="BL8" s="86">
        <v>66389</v>
      </c>
      <c r="BM8" s="86">
        <v>9016</v>
      </c>
      <c r="BN8" s="87">
        <v>0.48050609230995178</v>
      </c>
      <c r="BO8" s="86">
        <v>1899919</v>
      </c>
      <c r="BP8" s="86">
        <v>76826</v>
      </c>
      <c r="BQ8" s="86">
        <v>62278</v>
      </c>
      <c r="BR8" s="86">
        <v>14548</v>
      </c>
      <c r="BS8" s="87">
        <v>0.7716253399848938</v>
      </c>
      <c r="BT8" s="86">
        <v>1909666</v>
      </c>
      <c r="BU8" s="86">
        <v>79494</v>
      </c>
      <c r="BV8" s="86">
        <v>69747</v>
      </c>
      <c r="BW8" s="86">
        <v>9747</v>
      </c>
      <c r="BX8" s="87">
        <v>0.51302188634872437</v>
      </c>
      <c r="BY8" s="86">
        <v>1919697</v>
      </c>
      <c r="BZ8" s="86">
        <v>72136</v>
      </c>
      <c r="CA8" s="86">
        <v>62105</v>
      </c>
      <c r="CB8" s="86">
        <v>10031</v>
      </c>
      <c r="CC8" s="87">
        <v>0.52527511119842529</v>
      </c>
      <c r="CD8" s="86">
        <v>1938453</v>
      </c>
      <c r="CE8" s="86">
        <v>83553</v>
      </c>
      <c r="CF8" s="86">
        <v>64797</v>
      </c>
      <c r="CG8" s="86">
        <v>18756</v>
      </c>
      <c r="CH8" s="87">
        <v>0.97702920436859131</v>
      </c>
      <c r="CI8" s="86">
        <v>1963522</v>
      </c>
      <c r="CJ8" s="86">
        <v>89672</v>
      </c>
      <c r="CK8" s="86">
        <v>64603</v>
      </c>
      <c r="CL8" s="86">
        <v>25069</v>
      </c>
      <c r="CM8" s="87">
        <v>1.2932478189468384</v>
      </c>
      <c r="CN8" s="86">
        <v>1988205</v>
      </c>
      <c r="CO8" s="86">
        <v>94971</v>
      </c>
      <c r="CP8" s="86">
        <v>70288</v>
      </c>
      <c r="CQ8" s="86">
        <v>24683</v>
      </c>
      <c r="CR8" s="87">
        <v>1.2570778131484985</v>
      </c>
      <c r="CS8" s="86">
        <v>2011553</v>
      </c>
      <c r="CT8" s="86">
        <v>97622</v>
      </c>
      <c r="CU8" s="86">
        <v>74274</v>
      </c>
      <c r="CV8" s="86">
        <v>23348</v>
      </c>
      <c r="CW8" s="87">
        <v>1.1743255853652954</v>
      </c>
      <c r="CX8" s="86">
        <v>2029663</v>
      </c>
      <c r="CY8" s="86">
        <v>92446</v>
      </c>
      <c r="CZ8" s="86">
        <v>74336</v>
      </c>
      <c r="DA8" s="86">
        <v>18110</v>
      </c>
      <c r="DB8" s="87">
        <v>0.90029942989349365</v>
      </c>
      <c r="DC8" s="86">
        <v>2039259</v>
      </c>
      <c r="DD8" s="86">
        <v>90491</v>
      </c>
      <c r="DE8" s="86">
        <v>80895</v>
      </c>
      <c r="DF8" s="86">
        <v>9596</v>
      </c>
      <c r="DG8" s="87">
        <v>0.47278785705566406</v>
      </c>
      <c r="DH8" s="86">
        <v>2056796</v>
      </c>
      <c r="DI8" s="86">
        <v>88253</v>
      </c>
      <c r="DJ8" s="86">
        <v>70716</v>
      </c>
      <c r="DK8" s="86">
        <v>17537</v>
      </c>
      <c r="DL8" s="87">
        <v>0.85996925830841064</v>
      </c>
      <c r="DM8" s="86">
        <v>2041856</v>
      </c>
      <c r="DN8" s="86">
        <v>66688</v>
      </c>
      <c r="DO8" s="86">
        <v>81628</v>
      </c>
      <c r="DP8" s="86">
        <v>-14940</v>
      </c>
      <c r="DQ8" s="87">
        <v>-0.72637248039245605</v>
      </c>
      <c r="DR8" s="86">
        <v>2046425</v>
      </c>
      <c r="DS8" s="86">
        <v>86996</v>
      </c>
      <c r="DT8" s="86">
        <v>82427</v>
      </c>
      <c r="DU8" s="86">
        <v>4569</v>
      </c>
      <c r="DV8" s="87">
        <v>0.2237669974565506</v>
      </c>
      <c r="DW8" s="86">
        <v>2062346</v>
      </c>
      <c r="DX8" s="86">
        <v>92303</v>
      </c>
      <c r="DY8" s="86">
        <v>76382</v>
      </c>
      <c r="DZ8" s="86">
        <v>15921</v>
      </c>
      <c r="EA8" s="87">
        <v>0.77799087762832642</v>
      </c>
      <c r="EB8" s="86">
        <v>2070427</v>
      </c>
      <c r="EC8" s="86">
        <v>91775</v>
      </c>
      <c r="ED8" s="86">
        <v>83694</v>
      </c>
      <c r="EE8" s="86">
        <v>8081</v>
      </c>
      <c r="EF8" s="87">
        <v>0.39183533191680908</v>
      </c>
      <c r="EG8" s="86">
        <v>2082844</v>
      </c>
      <c r="EH8" s="86">
        <v>87646</v>
      </c>
      <c r="EI8" s="86">
        <v>75229</v>
      </c>
      <c r="EJ8" s="86">
        <v>12417</v>
      </c>
      <c r="EK8" s="87">
        <v>0.59973138570785522</v>
      </c>
      <c r="EL8" s="86">
        <v>2099787</v>
      </c>
      <c r="EM8" s="86">
        <v>95001</v>
      </c>
      <c r="EN8" s="86">
        <v>78058</v>
      </c>
      <c r="EO8" s="86">
        <v>16943</v>
      </c>
      <c r="EP8" s="87">
        <v>0.81345504522323608</v>
      </c>
      <c r="EQ8" s="86">
        <v>2122667</v>
      </c>
      <c r="ER8" s="86">
        <v>98768</v>
      </c>
      <c r="ES8" s="86">
        <v>75888</v>
      </c>
      <c r="ET8" s="86">
        <v>22880</v>
      </c>
      <c r="EU8" s="87">
        <v>1.0896342992782593</v>
      </c>
      <c r="EV8" s="86">
        <v>2141664</v>
      </c>
      <c r="EW8" s="86">
        <v>99620</v>
      </c>
      <c r="EX8" s="86">
        <v>80623</v>
      </c>
      <c r="EY8" s="86">
        <v>18997</v>
      </c>
      <c r="EZ8" s="87">
        <v>0.89495903253555298</v>
      </c>
      <c r="FA8" s="86">
        <v>2162537</v>
      </c>
      <c r="FB8" s="86">
        <v>105105</v>
      </c>
      <c r="FC8" s="86">
        <v>84232</v>
      </c>
      <c r="FD8" s="86">
        <v>20873</v>
      </c>
      <c r="FE8" s="87">
        <v>0.97461599111557007</v>
      </c>
      <c r="FF8" s="86">
        <v>2182400</v>
      </c>
      <c r="FG8" s="86">
        <v>98058</v>
      </c>
      <c r="FH8" s="86">
        <v>78195</v>
      </c>
      <c r="FI8" s="86">
        <v>19863</v>
      </c>
      <c r="FJ8" s="87">
        <v>0.91850453615188599</v>
      </c>
      <c r="FK8" s="86">
        <v>2189999</v>
      </c>
      <c r="FL8" s="86">
        <v>89553</v>
      </c>
      <c r="FM8" s="86">
        <v>81954</v>
      </c>
      <c r="FN8" s="86">
        <v>7599</v>
      </c>
      <c r="FO8" s="87">
        <v>0.3481946587562561</v>
      </c>
      <c r="FP8" s="86">
        <v>2192166</v>
      </c>
      <c r="FQ8" s="86">
        <v>83580</v>
      </c>
      <c r="FR8" s="86">
        <v>81413</v>
      </c>
      <c r="FS8" s="86">
        <v>2167</v>
      </c>
      <c r="FT8" s="87">
        <v>9.8949819803237915E-2</v>
      </c>
      <c r="FU8" s="86">
        <v>2160439</v>
      </c>
      <c r="FV8" s="86">
        <v>63995</v>
      </c>
      <c r="FW8" s="86">
        <v>95722</v>
      </c>
      <c r="FX8" s="86">
        <v>-31727</v>
      </c>
      <c r="FY8" s="87">
        <v>-1.4472900629043579</v>
      </c>
      <c r="FZ8" s="86">
        <v>2158375</v>
      </c>
      <c r="GA8" s="86">
        <v>90399</v>
      </c>
      <c r="GB8" s="86">
        <v>92463</v>
      </c>
      <c r="GC8" s="86">
        <v>-2064</v>
      </c>
      <c r="GD8" s="87">
        <v>-9.5536135137081146E-2</v>
      </c>
      <c r="GE8" s="86">
        <v>2172589</v>
      </c>
      <c r="GF8" s="86">
        <v>93080</v>
      </c>
      <c r="GG8" s="86">
        <v>78866</v>
      </c>
      <c r="GH8" s="86">
        <v>14214</v>
      </c>
      <c r="GI8" s="87">
        <v>0.65855097770690918</v>
      </c>
      <c r="GJ8" s="86">
        <v>2183429</v>
      </c>
      <c r="GK8" s="86">
        <v>100025</v>
      </c>
      <c r="GL8" s="86">
        <v>89185</v>
      </c>
      <c r="GM8" s="86">
        <v>10840</v>
      </c>
      <c r="GN8" s="87">
        <v>0.49894389510154724</v>
      </c>
      <c r="GO8" s="86">
        <v>2196119</v>
      </c>
      <c r="GP8" s="86">
        <v>89637</v>
      </c>
      <c r="GQ8" s="86">
        <v>76947</v>
      </c>
      <c r="GR8" s="86">
        <v>12690</v>
      </c>
      <c r="GS8" s="87">
        <v>0.5811958909034729</v>
      </c>
      <c r="GT8" s="86">
        <v>2209584</v>
      </c>
      <c r="GU8" s="86">
        <v>97897</v>
      </c>
      <c r="GV8" s="86">
        <v>84432</v>
      </c>
      <c r="GW8" s="86">
        <v>13465</v>
      </c>
      <c r="GX8" s="87">
        <v>0.61312705278396606</v>
      </c>
      <c r="GY8" s="86">
        <v>2224291</v>
      </c>
      <c r="GZ8" s="86">
        <v>98660</v>
      </c>
      <c r="HA8" s="86">
        <v>83953</v>
      </c>
      <c r="HB8" s="86">
        <v>14707</v>
      </c>
      <c r="HC8" s="87">
        <v>0.66560041904449463</v>
      </c>
      <c r="HD8" s="86">
        <v>2239190</v>
      </c>
      <c r="HE8" s="86">
        <v>97171</v>
      </c>
      <c r="HF8" s="86">
        <v>82272</v>
      </c>
      <c r="HG8" s="86">
        <v>14899</v>
      </c>
      <c r="HH8" s="87">
        <v>0.66983139514923096</v>
      </c>
      <c r="HI8" s="86">
        <v>2257112</v>
      </c>
      <c r="HJ8" s="86">
        <v>106892</v>
      </c>
      <c r="HK8" s="86">
        <v>88970</v>
      </c>
      <c r="HL8" s="86">
        <v>17922</v>
      </c>
      <c r="HM8" s="87">
        <v>0.80037868022918701</v>
      </c>
      <c r="HN8" s="86">
        <v>2273117</v>
      </c>
      <c r="HO8" s="86">
        <v>97740</v>
      </c>
      <c r="HP8" s="86">
        <v>81735</v>
      </c>
      <c r="HQ8" s="86">
        <v>16005</v>
      </c>
      <c r="HR8" s="87">
        <v>0.70909196138381958</v>
      </c>
      <c r="HS8" s="86">
        <v>2282708</v>
      </c>
      <c r="HT8" s="86">
        <v>93703</v>
      </c>
      <c r="HU8" s="86">
        <v>84112</v>
      </c>
      <c r="HV8" s="86">
        <v>9591</v>
      </c>
      <c r="HW8" s="87">
        <v>0.42193165421485901</v>
      </c>
      <c r="HX8" s="86">
        <v>2286925</v>
      </c>
      <c r="HY8" s="86">
        <v>88195</v>
      </c>
      <c r="HZ8" s="86">
        <v>83978</v>
      </c>
      <c r="IA8" s="86">
        <v>4217</v>
      </c>
      <c r="IB8" s="87">
        <v>0.18473672866821289</v>
      </c>
      <c r="IC8" s="86">
        <v>2267175</v>
      </c>
      <c r="ID8" s="86">
        <v>69709</v>
      </c>
      <c r="IE8" s="86">
        <v>89459</v>
      </c>
      <c r="IF8" s="86">
        <v>-19750</v>
      </c>
      <c r="IG8" s="87">
        <v>-0.8636050820350647</v>
      </c>
      <c r="IH8" s="86">
        <v>2271239</v>
      </c>
      <c r="II8" s="86">
        <v>96948</v>
      </c>
      <c r="IJ8" s="86">
        <v>92884</v>
      </c>
      <c r="IK8" s="86">
        <v>4064</v>
      </c>
      <c r="IL8" s="87">
        <v>0.17925392091274261</v>
      </c>
      <c r="IM8" s="86">
        <v>2289372</v>
      </c>
      <c r="IN8" s="86">
        <v>106815</v>
      </c>
      <c r="IO8" s="86">
        <v>88682</v>
      </c>
      <c r="IP8" s="86">
        <v>18133</v>
      </c>
      <c r="IQ8" s="87">
        <v>0.79837483167648315</v>
      </c>
      <c r="IR8" s="86">
        <v>2299646</v>
      </c>
      <c r="IS8" s="86">
        <v>103236</v>
      </c>
      <c r="IT8" s="86">
        <v>92962</v>
      </c>
      <c r="IU8" s="86">
        <v>10274</v>
      </c>
      <c r="IV8" s="87">
        <v>0.44876936078071594</v>
      </c>
      <c r="IW8" s="86">
        <v>2315344</v>
      </c>
      <c r="IX8" s="86">
        <v>108823</v>
      </c>
      <c r="IY8" s="86">
        <v>93125</v>
      </c>
      <c r="IZ8" s="86">
        <v>15698</v>
      </c>
      <c r="JA8" s="87">
        <v>0.68262678384780884</v>
      </c>
      <c r="JB8" s="86">
        <v>2325857</v>
      </c>
      <c r="JC8" s="86">
        <v>104178</v>
      </c>
      <c r="JD8" s="86">
        <v>93665</v>
      </c>
      <c r="JE8" s="86">
        <v>10513</v>
      </c>
      <c r="JF8" s="87">
        <v>0.45405781269073486</v>
      </c>
      <c r="JG8" s="86">
        <v>2344672</v>
      </c>
      <c r="JH8" s="86">
        <v>106317</v>
      </c>
      <c r="JI8" s="86">
        <v>87502</v>
      </c>
      <c r="JJ8" s="86">
        <v>18815</v>
      </c>
      <c r="JK8" s="87">
        <v>0.80894911289215088</v>
      </c>
      <c r="JL8" s="86">
        <v>2358517</v>
      </c>
      <c r="JM8" s="86">
        <v>110109</v>
      </c>
      <c r="JN8" s="86">
        <v>96264</v>
      </c>
      <c r="JO8" s="86">
        <v>13845</v>
      </c>
      <c r="JP8" s="87">
        <v>0.59048771858215332</v>
      </c>
      <c r="JQ8" s="86">
        <v>2374231</v>
      </c>
      <c r="JR8" s="86">
        <v>112266</v>
      </c>
      <c r="JS8" s="86">
        <v>96552</v>
      </c>
      <c r="JT8" s="86">
        <v>15714</v>
      </c>
      <c r="JU8" s="87">
        <v>0.66626614332199097</v>
      </c>
      <c r="JV8" s="86">
        <v>2391241</v>
      </c>
      <c r="JW8" s="86">
        <v>106507</v>
      </c>
      <c r="JX8" s="86">
        <v>89497</v>
      </c>
      <c r="JY8" s="86">
        <v>17010</v>
      </c>
      <c r="JZ8" s="87">
        <v>0.7164425253868103</v>
      </c>
      <c r="KA8" s="86">
        <v>2399210</v>
      </c>
      <c r="KB8" s="86">
        <v>106324</v>
      </c>
      <c r="KC8" s="86">
        <v>98355</v>
      </c>
      <c r="KD8" s="86">
        <v>7969</v>
      </c>
      <c r="KE8" s="87">
        <v>0.33325791358947754</v>
      </c>
      <c r="KF8" s="86">
        <v>2407036</v>
      </c>
      <c r="KG8" s="86">
        <v>97318</v>
      </c>
      <c r="KH8" s="86">
        <v>89492</v>
      </c>
      <c r="KI8" s="86">
        <v>7826</v>
      </c>
      <c r="KJ8" s="87">
        <v>0.32619071006774902</v>
      </c>
      <c r="KK8" s="86">
        <v>2380342</v>
      </c>
      <c r="KL8" s="86">
        <v>74658</v>
      </c>
      <c r="KM8" s="86">
        <v>101352</v>
      </c>
      <c r="KN8" s="86">
        <v>-26694</v>
      </c>
      <c r="KO8" s="87">
        <v>-1.1089987754821777</v>
      </c>
      <c r="KP8" s="86">
        <v>2384296</v>
      </c>
      <c r="KQ8" s="86">
        <v>108612</v>
      </c>
      <c r="KR8" s="86">
        <v>104658</v>
      </c>
      <c r="KS8" s="86">
        <v>3954</v>
      </c>
      <c r="KT8" s="87">
        <v>0.16611059010028839</v>
      </c>
      <c r="KU8" s="86">
        <v>2406631</v>
      </c>
      <c r="KV8" s="86">
        <v>123188</v>
      </c>
      <c r="KW8" s="86">
        <v>100853</v>
      </c>
      <c r="KX8" s="86">
        <v>22335</v>
      </c>
      <c r="KY8" s="87">
        <v>0.93675452470779419</v>
      </c>
      <c r="KZ8" s="86">
        <v>2412641</v>
      </c>
      <c r="LA8" s="86">
        <v>106236</v>
      </c>
      <c r="LB8" s="86">
        <v>100226</v>
      </c>
      <c r="LC8" s="86">
        <v>6010</v>
      </c>
      <c r="LD8" s="87">
        <v>0.24972669780254364</v>
      </c>
      <c r="LE8" s="86">
        <v>2426353</v>
      </c>
      <c r="LF8" s="86">
        <v>111537</v>
      </c>
      <c r="LG8" s="86">
        <v>97825</v>
      </c>
      <c r="LH8" s="86">
        <v>13712</v>
      </c>
      <c r="LI8" s="87">
        <v>0.56833982467651367</v>
      </c>
      <c r="LJ8" s="86">
        <v>2438336</v>
      </c>
      <c r="LK8" s="86">
        <v>114856</v>
      </c>
      <c r="LL8" s="86">
        <v>102873</v>
      </c>
      <c r="LM8" s="86">
        <v>11983</v>
      </c>
      <c r="LN8" s="87">
        <v>0.49386876821517944</v>
      </c>
      <c r="LO8" s="86">
        <v>2450953</v>
      </c>
      <c r="LP8" s="86">
        <v>109787</v>
      </c>
      <c r="LQ8" s="86">
        <v>97170</v>
      </c>
      <c r="LR8" s="86">
        <v>12617</v>
      </c>
      <c r="LS8" s="87">
        <v>0.51744306087493896</v>
      </c>
      <c r="LT8" s="86">
        <v>2460111</v>
      </c>
      <c r="LU8" s="86">
        <v>114396</v>
      </c>
      <c r="LV8" s="86">
        <v>105238</v>
      </c>
      <c r="LW8" s="86">
        <v>9158</v>
      </c>
      <c r="LX8" s="87">
        <v>0.37365058064460754</v>
      </c>
      <c r="LY8" s="86">
        <v>2473059</v>
      </c>
      <c r="LZ8" s="86">
        <v>115551</v>
      </c>
      <c r="MA8" s="86">
        <v>102603</v>
      </c>
      <c r="MB8" s="86">
        <v>12948</v>
      </c>
      <c r="MC8" s="87">
        <v>0.52631771564483643</v>
      </c>
      <c r="MD8" s="86">
        <v>2491499</v>
      </c>
      <c r="ME8" s="86">
        <v>117299</v>
      </c>
      <c r="MF8" s="86">
        <v>98859</v>
      </c>
      <c r="MG8" s="86">
        <v>18440</v>
      </c>
      <c r="MH8" s="87">
        <v>0.7456352710723877</v>
      </c>
      <c r="MI8" s="86">
        <v>2497037</v>
      </c>
      <c r="MJ8" s="86">
        <v>111856</v>
      </c>
      <c r="MK8" s="86">
        <v>106318</v>
      </c>
      <c r="ML8" s="86">
        <v>5538</v>
      </c>
      <c r="MM8" s="87">
        <v>0.22227582335472107</v>
      </c>
      <c r="MN8" s="86">
        <v>2503529</v>
      </c>
      <c r="MO8" s="86">
        <v>100556</v>
      </c>
      <c r="MP8" s="86">
        <v>94064</v>
      </c>
      <c r="MQ8" s="86">
        <v>6492</v>
      </c>
      <c r="MR8" s="103">
        <v>0.25998812913894653</v>
      </c>
      <c r="MS8" s="86">
        <v>2471640</v>
      </c>
      <c r="MT8" s="86">
        <v>74956</v>
      </c>
      <c r="MU8" s="86">
        <v>106845</v>
      </c>
      <c r="MV8" s="86">
        <v>-31889</v>
      </c>
      <c r="MW8" s="103">
        <v>-1.2737619876861572</v>
      </c>
      <c r="MX8" s="86">
        <v>2474289</v>
      </c>
      <c r="MY8" s="86">
        <v>107881</v>
      </c>
      <c r="MZ8" s="86">
        <v>105232</v>
      </c>
      <c r="NA8" s="86">
        <v>2649</v>
      </c>
      <c r="NB8" s="103">
        <v>0.1071758046746254</v>
      </c>
      <c r="NC8" s="86">
        <v>2486152</v>
      </c>
      <c r="ND8" s="86">
        <v>112495</v>
      </c>
      <c r="NE8" s="86">
        <v>100632</v>
      </c>
      <c r="NF8" s="86">
        <v>11863</v>
      </c>
      <c r="NG8" s="103">
        <v>0.47945085167884827</v>
      </c>
      <c r="NH8" s="86">
        <v>2494038</v>
      </c>
      <c r="NI8" s="86">
        <v>115255</v>
      </c>
      <c r="NJ8" s="86">
        <v>107369</v>
      </c>
      <c r="NK8" s="86">
        <v>7886</v>
      </c>
      <c r="NL8" s="103">
        <v>0.31719702482223511</v>
      </c>
      <c r="NM8" s="86">
        <f t="shared" ref="NM8:NM10" si="2">SUM(ND8,MY8,NI8)</f>
        <v>335631</v>
      </c>
      <c r="NN8" s="86">
        <f t="shared" ref="NN8:NN10" si="3">SUM(NE8,MZ8,NJ8)</f>
        <v>313233</v>
      </c>
      <c r="NO8" s="86">
        <f t="shared" ref="NO8:NO10" si="4">SUM(NF8,NA8,NK8)</f>
        <v>22398</v>
      </c>
      <c r="NP8" s="103">
        <f t="shared" ref="NP8:NP10" si="5">(NO8/MS8)*100</f>
        <v>0.90619993202893623</v>
      </c>
      <c r="NQ8" s="86">
        <f t="shared" ref="NQ8:NQ10" si="6">SUM(MO8,MJ8,ME8,LZ8,LU8,LP8,LK8,LF8,MT8,MY8,ND8,NI8)</f>
        <v>1306425</v>
      </c>
      <c r="NR8" s="86">
        <f t="shared" ref="NR8:NR10" si="7">SUM(MP8,MK8,MF8,MA8,LV8,LQ8,LL8,LG8,MU8,MZ8,NE8,NJ8)</f>
        <v>1225028</v>
      </c>
      <c r="NS8" s="86">
        <f t="shared" ref="NS8:NS10" si="8">SUM(MQ8,ML8,MG8,MB8,LW8,LR8,LM8,LH8,MV8,NA8,NF8,NK8)</f>
        <v>81397</v>
      </c>
      <c r="NT8" s="103">
        <f t="shared" ref="NT8:NT10" si="9">NS8/(NH8-NS8)*100</f>
        <v>3.3737717298180709</v>
      </c>
      <c r="NU8" s="41"/>
    </row>
    <row r="9" spans="1:386" ht="31.5" customHeight="1">
      <c r="A9" s="41"/>
      <c r="B9" s="88" t="s">
        <v>15</v>
      </c>
      <c r="C9" s="89">
        <v>240891</v>
      </c>
      <c r="D9" s="89">
        <v>9670</v>
      </c>
      <c r="E9" s="89">
        <v>9485</v>
      </c>
      <c r="F9" s="90">
        <v>185</v>
      </c>
      <c r="G9" s="89">
        <v>242108</v>
      </c>
      <c r="H9" s="89">
        <v>10992</v>
      </c>
      <c r="I9" s="89">
        <v>9775</v>
      </c>
      <c r="J9" s="89">
        <v>1217</v>
      </c>
      <c r="K9" s="91">
        <v>0.50520777702331543</v>
      </c>
      <c r="L9" s="89">
        <v>241012</v>
      </c>
      <c r="M9" s="89">
        <v>9486</v>
      </c>
      <c r="N9" s="89">
        <v>10582</v>
      </c>
      <c r="O9" s="89">
        <v>-1096</v>
      </c>
      <c r="P9" s="91">
        <v>-0.45269054174423218</v>
      </c>
      <c r="Q9" s="89">
        <v>235496</v>
      </c>
      <c r="R9" s="89">
        <v>4013</v>
      </c>
      <c r="S9" s="89">
        <v>9529</v>
      </c>
      <c r="T9" s="89">
        <v>-5516</v>
      </c>
      <c r="U9" s="91">
        <v>-2.2886826992034912</v>
      </c>
      <c r="V9" s="89">
        <v>234005</v>
      </c>
      <c r="W9" s="89">
        <v>5908</v>
      </c>
      <c r="X9" s="89">
        <v>7399</v>
      </c>
      <c r="Y9" s="89">
        <v>-1491</v>
      </c>
      <c r="Z9" s="91">
        <v>-0.63313180208206177</v>
      </c>
      <c r="AA9" s="89">
        <v>234735</v>
      </c>
      <c r="AB9" s="89">
        <v>7596</v>
      </c>
      <c r="AC9" s="89">
        <v>6866</v>
      </c>
      <c r="AD9" s="90">
        <v>730</v>
      </c>
      <c r="AE9" s="91">
        <v>0.31195914745330811</v>
      </c>
      <c r="AF9" s="89">
        <v>236039</v>
      </c>
      <c r="AG9" s="89">
        <v>9075</v>
      </c>
      <c r="AH9" s="89">
        <v>7771</v>
      </c>
      <c r="AI9" s="89">
        <v>1304</v>
      </c>
      <c r="AJ9" s="91">
        <v>0.55552005767822266</v>
      </c>
      <c r="AK9" s="89">
        <v>237730</v>
      </c>
      <c r="AL9" s="89">
        <v>9597</v>
      </c>
      <c r="AM9" s="89">
        <v>7906</v>
      </c>
      <c r="AN9" s="89">
        <v>1691</v>
      </c>
      <c r="AO9" s="91">
        <v>0.71640706062316895</v>
      </c>
      <c r="AP9" s="89">
        <v>239402</v>
      </c>
      <c r="AQ9" s="89">
        <v>9984</v>
      </c>
      <c r="AR9" s="89">
        <v>8312</v>
      </c>
      <c r="AS9" s="89">
        <v>1672</v>
      </c>
      <c r="AT9" s="91">
        <v>0.70331889390945435</v>
      </c>
      <c r="AU9" s="89">
        <v>240974</v>
      </c>
      <c r="AV9" s="89">
        <v>10414</v>
      </c>
      <c r="AW9" s="89">
        <v>8842</v>
      </c>
      <c r="AX9" s="89">
        <v>1572</v>
      </c>
      <c r="AY9" s="91">
        <v>0.65663611888885498</v>
      </c>
      <c r="AZ9" s="89">
        <v>241916</v>
      </c>
      <c r="BA9" s="89">
        <v>10042</v>
      </c>
      <c r="BB9" s="89">
        <v>9100</v>
      </c>
      <c r="BC9" s="90">
        <v>942</v>
      </c>
      <c r="BD9" s="91">
        <v>0.39091354608535767</v>
      </c>
      <c r="BE9" s="89">
        <v>241751</v>
      </c>
      <c r="BF9" s="89">
        <v>8126</v>
      </c>
      <c r="BG9" s="89">
        <v>8291</v>
      </c>
      <c r="BH9" s="90">
        <v>-165</v>
      </c>
      <c r="BI9" s="91">
        <v>-6.8205490708351135E-2</v>
      </c>
      <c r="BJ9" s="89">
        <v>242331</v>
      </c>
      <c r="BK9" s="89">
        <v>10411</v>
      </c>
      <c r="BL9" s="89">
        <v>9831</v>
      </c>
      <c r="BM9" s="90">
        <v>580</v>
      </c>
      <c r="BN9" s="91">
        <v>0.23991627991199493</v>
      </c>
      <c r="BO9" s="89">
        <v>244294</v>
      </c>
      <c r="BP9" s="89">
        <v>11434</v>
      </c>
      <c r="BQ9" s="89">
        <v>9471</v>
      </c>
      <c r="BR9" s="89">
        <v>1963</v>
      </c>
      <c r="BS9" s="91">
        <v>0.81004905700683594</v>
      </c>
      <c r="BT9" s="89">
        <v>244770</v>
      </c>
      <c r="BU9" s="89">
        <v>10639</v>
      </c>
      <c r="BV9" s="89">
        <v>10163</v>
      </c>
      <c r="BW9" s="90">
        <v>476</v>
      </c>
      <c r="BX9" s="91">
        <v>0.19484719634056091</v>
      </c>
      <c r="BY9" s="89">
        <v>245375</v>
      </c>
      <c r="BZ9" s="89">
        <v>9847</v>
      </c>
      <c r="CA9" s="89">
        <v>9242</v>
      </c>
      <c r="CB9" s="90">
        <v>605</v>
      </c>
      <c r="CC9" s="91">
        <v>0.2471708208322525</v>
      </c>
      <c r="CD9" s="89">
        <v>246847</v>
      </c>
      <c r="CE9" s="89">
        <v>11414</v>
      </c>
      <c r="CF9" s="89">
        <v>9942</v>
      </c>
      <c r="CG9" s="89">
        <v>1472</v>
      </c>
      <c r="CH9" s="91">
        <v>0.59989809989929199</v>
      </c>
      <c r="CI9" s="89">
        <v>250203</v>
      </c>
      <c r="CJ9" s="89">
        <v>13211</v>
      </c>
      <c r="CK9" s="89">
        <v>9855</v>
      </c>
      <c r="CL9" s="89">
        <v>3356</v>
      </c>
      <c r="CM9" s="91">
        <v>1.3595465421676636</v>
      </c>
      <c r="CN9" s="89">
        <v>253004</v>
      </c>
      <c r="CO9" s="89">
        <v>13631</v>
      </c>
      <c r="CP9" s="89">
        <v>10830</v>
      </c>
      <c r="CQ9" s="89">
        <v>2801</v>
      </c>
      <c r="CR9" s="91">
        <v>1.1194909811019897</v>
      </c>
      <c r="CS9" s="89">
        <v>255835</v>
      </c>
      <c r="CT9" s="89">
        <v>13824</v>
      </c>
      <c r="CU9" s="89">
        <v>10993</v>
      </c>
      <c r="CV9" s="89">
        <v>2831</v>
      </c>
      <c r="CW9" s="91">
        <v>1.1189546585083008</v>
      </c>
      <c r="CX9" s="89">
        <v>256614</v>
      </c>
      <c r="CY9" s="89">
        <v>12949</v>
      </c>
      <c r="CZ9" s="89">
        <v>12170</v>
      </c>
      <c r="DA9" s="90">
        <v>779</v>
      </c>
      <c r="DB9" s="91">
        <v>0.30449312925338745</v>
      </c>
      <c r="DC9" s="89">
        <v>257577</v>
      </c>
      <c r="DD9" s="89">
        <v>12486</v>
      </c>
      <c r="DE9" s="89">
        <v>11523</v>
      </c>
      <c r="DF9" s="90">
        <v>963</v>
      </c>
      <c r="DG9" s="91">
        <v>0.37527179718017578</v>
      </c>
      <c r="DH9" s="89">
        <v>259137</v>
      </c>
      <c r="DI9" s="89">
        <v>12510</v>
      </c>
      <c r="DJ9" s="89">
        <v>10950</v>
      </c>
      <c r="DK9" s="89">
        <v>1560</v>
      </c>
      <c r="DL9" s="91">
        <v>0.60564416646957397</v>
      </c>
      <c r="DM9" s="89">
        <v>258103</v>
      </c>
      <c r="DN9" s="89">
        <v>10324</v>
      </c>
      <c r="DO9" s="89">
        <v>11358</v>
      </c>
      <c r="DP9" s="89">
        <v>-1034</v>
      </c>
      <c r="DQ9" s="91">
        <v>-0.39901673793792725</v>
      </c>
      <c r="DR9" s="89">
        <v>258981</v>
      </c>
      <c r="DS9" s="89">
        <v>12803</v>
      </c>
      <c r="DT9" s="89">
        <v>11925</v>
      </c>
      <c r="DU9" s="90">
        <v>878</v>
      </c>
      <c r="DV9" s="91">
        <v>0.34017425775527954</v>
      </c>
      <c r="DW9" s="89">
        <v>261919</v>
      </c>
      <c r="DX9" s="89">
        <v>14831</v>
      </c>
      <c r="DY9" s="89">
        <v>11893</v>
      </c>
      <c r="DZ9" s="89">
        <v>2938</v>
      </c>
      <c r="EA9" s="91">
        <v>1.1344461441040039</v>
      </c>
      <c r="EB9" s="89">
        <v>263310</v>
      </c>
      <c r="EC9" s="89">
        <v>14239</v>
      </c>
      <c r="ED9" s="89">
        <v>12848</v>
      </c>
      <c r="EE9" s="89">
        <v>1391</v>
      </c>
      <c r="EF9" s="91">
        <v>0.53108024597167969</v>
      </c>
      <c r="EG9" s="89">
        <v>264462</v>
      </c>
      <c r="EH9" s="89">
        <v>12838</v>
      </c>
      <c r="EI9" s="89">
        <v>11686</v>
      </c>
      <c r="EJ9" s="89">
        <v>1152</v>
      </c>
      <c r="EK9" s="91">
        <v>0.43750712275505066</v>
      </c>
      <c r="EL9" s="89">
        <v>266561</v>
      </c>
      <c r="EM9" s="89">
        <v>13831</v>
      </c>
      <c r="EN9" s="89">
        <v>11732</v>
      </c>
      <c r="EO9" s="89">
        <v>2099</v>
      </c>
      <c r="EP9" s="91">
        <v>0.79368680715560913</v>
      </c>
      <c r="EQ9" s="89">
        <v>269319</v>
      </c>
      <c r="ER9" s="89">
        <v>14153</v>
      </c>
      <c r="ES9" s="89">
        <v>11395</v>
      </c>
      <c r="ET9" s="89">
        <v>2758</v>
      </c>
      <c r="EU9" s="91">
        <v>1.0346599817276001</v>
      </c>
      <c r="EV9" s="89">
        <v>270947</v>
      </c>
      <c r="EW9" s="89">
        <v>13899</v>
      </c>
      <c r="EX9" s="89">
        <v>12271</v>
      </c>
      <c r="EY9" s="89">
        <v>1628</v>
      </c>
      <c r="EZ9" s="91">
        <v>0.60448759794235229</v>
      </c>
      <c r="FA9" s="89">
        <v>272875</v>
      </c>
      <c r="FB9" s="89">
        <v>14594</v>
      </c>
      <c r="FC9" s="89">
        <v>12666</v>
      </c>
      <c r="FD9" s="89">
        <v>1928</v>
      </c>
      <c r="FE9" s="91">
        <v>0.71157824993133545</v>
      </c>
      <c r="FF9" s="89">
        <v>274713</v>
      </c>
      <c r="FG9" s="89">
        <v>13498</v>
      </c>
      <c r="FH9" s="89">
        <v>11660</v>
      </c>
      <c r="FI9" s="89">
        <v>1838</v>
      </c>
      <c r="FJ9" s="91">
        <v>0.6735684871673584</v>
      </c>
      <c r="FK9" s="89">
        <v>275427</v>
      </c>
      <c r="FL9" s="89">
        <v>12463</v>
      </c>
      <c r="FM9" s="89">
        <v>11749</v>
      </c>
      <c r="FN9" s="90">
        <v>714</v>
      </c>
      <c r="FO9" s="91">
        <v>0.25990760326385498</v>
      </c>
      <c r="FP9" s="89">
        <v>275616</v>
      </c>
      <c r="FQ9" s="89">
        <v>11029</v>
      </c>
      <c r="FR9" s="89">
        <v>10840</v>
      </c>
      <c r="FS9" s="90">
        <v>189</v>
      </c>
      <c r="FT9" s="91">
        <v>6.8620726466178894E-2</v>
      </c>
      <c r="FU9" s="89">
        <v>274244</v>
      </c>
      <c r="FV9" s="89">
        <v>9339</v>
      </c>
      <c r="FW9" s="89">
        <v>10711</v>
      </c>
      <c r="FX9" s="89">
        <v>-1372</v>
      </c>
      <c r="FY9" s="91">
        <v>-0.49779403209686279</v>
      </c>
      <c r="FZ9" s="89">
        <v>273847</v>
      </c>
      <c r="GA9" s="89">
        <v>12537</v>
      </c>
      <c r="GB9" s="89">
        <v>12934</v>
      </c>
      <c r="GC9" s="90">
        <v>-397</v>
      </c>
      <c r="GD9" s="91">
        <v>-0.1447615921497345</v>
      </c>
      <c r="GE9" s="89">
        <v>276323</v>
      </c>
      <c r="GF9" s="89">
        <v>14522</v>
      </c>
      <c r="GG9" s="89">
        <v>12046</v>
      </c>
      <c r="GH9" s="89">
        <v>2476</v>
      </c>
      <c r="GI9" s="91">
        <v>0.90415453910827637</v>
      </c>
      <c r="GJ9" s="89">
        <v>277424</v>
      </c>
      <c r="GK9" s="89">
        <v>14471</v>
      </c>
      <c r="GL9" s="89">
        <v>13370</v>
      </c>
      <c r="GM9" s="89">
        <v>1101</v>
      </c>
      <c r="GN9" s="91">
        <v>0.39844673871994019</v>
      </c>
      <c r="GO9" s="89">
        <v>278329</v>
      </c>
      <c r="GP9" s="89">
        <v>12564</v>
      </c>
      <c r="GQ9" s="89">
        <v>11659</v>
      </c>
      <c r="GR9" s="90">
        <v>905</v>
      </c>
      <c r="GS9" s="91">
        <v>0.3262154757976532</v>
      </c>
      <c r="GT9" s="89">
        <v>280141</v>
      </c>
      <c r="GU9" s="89">
        <v>14466</v>
      </c>
      <c r="GV9" s="89">
        <v>12654</v>
      </c>
      <c r="GW9" s="89">
        <v>1812</v>
      </c>
      <c r="GX9" s="91">
        <v>0.6510280966758728</v>
      </c>
      <c r="GY9" s="89">
        <v>282282</v>
      </c>
      <c r="GZ9" s="89">
        <v>14247</v>
      </c>
      <c r="HA9" s="89">
        <v>12106</v>
      </c>
      <c r="HB9" s="89">
        <v>2141</v>
      </c>
      <c r="HC9" s="91">
        <v>0.76425802707672119</v>
      </c>
      <c r="HD9" s="89">
        <v>283361</v>
      </c>
      <c r="HE9" s="89">
        <v>13923</v>
      </c>
      <c r="HF9" s="89">
        <v>12844</v>
      </c>
      <c r="HG9" s="89">
        <v>1079</v>
      </c>
      <c r="HH9" s="91">
        <v>0.3822418749332428</v>
      </c>
      <c r="HI9" s="89">
        <v>285360</v>
      </c>
      <c r="HJ9" s="89">
        <v>14776</v>
      </c>
      <c r="HK9" s="89">
        <v>12777</v>
      </c>
      <c r="HL9" s="89">
        <v>1999</v>
      </c>
      <c r="HM9" s="91">
        <v>0.70546054840087891</v>
      </c>
      <c r="HN9" s="89">
        <v>286662</v>
      </c>
      <c r="HO9" s="89">
        <v>13404</v>
      </c>
      <c r="HP9" s="89">
        <v>12102</v>
      </c>
      <c r="HQ9" s="89">
        <v>1302</v>
      </c>
      <c r="HR9" s="91">
        <v>0.45626577734947205</v>
      </c>
      <c r="HS9" s="89">
        <v>287108</v>
      </c>
      <c r="HT9" s="89">
        <v>12785</v>
      </c>
      <c r="HU9" s="89">
        <v>12339</v>
      </c>
      <c r="HV9" s="90">
        <v>446</v>
      </c>
      <c r="HW9" s="91">
        <v>0.1555839329957962</v>
      </c>
      <c r="HX9" s="89">
        <v>287547</v>
      </c>
      <c r="HY9" s="89">
        <v>12340</v>
      </c>
      <c r="HZ9" s="89">
        <v>11901</v>
      </c>
      <c r="IA9" s="90">
        <v>439</v>
      </c>
      <c r="IB9" s="91">
        <v>0.15290413796901703</v>
      </c>
      <c r="IC9" s="89">
        <v>285303</v>
      </c>
      <c r="ID9" s="89">
        <v>9374</v>
      </c>
      <c r="IE9" s="89">
        <v>11618</v>
      </c>
      <c r="IF9" s="89">
        <v>-2244</v>
      </c>
      <c r="IG9" s="91">
        <v>-0.78039413690567017</v>
      </c>
      <c r="IH9" s="89">
        <v>285513</v>
      </c>
      <c r="II9" s="89">
        <v>13843</v>
      </c>
      <c r="IJ9" s="89">
        <v>13633</v>
      </c>
      <c r="IK9" s="89">
        <v>210</v>
      </c>
      <c r="IL9" s="91">
        <v>7.3605954647064209E-2</v>
      </c>
      <c r="IM9" s="89">
        <v>288121</v>
      </c>
      <c r="IN9" s="89">
        <v>16186</v>
      </c>
      <c r="IO9" s="89">
        <v>13578</v>
      </c>
      <c r="IP9" s="89">
        <v>2608</v>
      </c>
      <c r="IQ9" s="91">
        <v>0.91344350576400757</v>
      </c>
      <c r="IR9" s="89">
        <v>289692</v>
      </c>
      <c r="IS9" s="89">
        <v>14807</v>
      </c>
      <c r="IT9" s="89">
        <v>13236</v>
      </c>
      <c r="IU9" s="89">
        <v>1571</v>
      </c>
      <c r="IV9" s="91">
        <v>0.54525703191757202</v>
      </c>
      <c r="IW9" s="89">
        <v>290273</v>
      </c>
      <c r="IX9" s="89">
        <v>14623</v>
      </c>
      <c r="IY9" s="89">
        <v>14042</v>
      </c>
      <c r="IZ9" s="89">
        <v>581</v>
      </c>
      <c r="JA9" s="91">
        <v>0.20055782794952393</v>
      </c>
      <c r="JB9" s="89">
        <v>291223</v>
      </c>
      <c r="JC9" s="89">
        <v>14008</v>
      </c>
      <c r="JD9" s="89">
        <v>13058</v>
      </c>
      <c r="JE9" s="89">
        <v>950</v>
      </c>
      <c r="JF9" s="91">
        <v>0.32727810740470886</v>
      </c>
      <c r="JG9" s="89">
        <v>292748</v>
      </c>
      <c r="JH9" s="89">
        <v>14313</v>
      </c>
      <c r="JI9" s="89">
        <v>12788</v>
      </c>
      <c r="JJ9" s="89">
        <v>1525</v>
      </c>
      <c r="JK9" s="91">
        <v>0.52365368604660034</v>
      </c>
      <c r="JL9" s="89">
        <v>295196</v>
      </c>
      <c r="JM9" s="89">
        <v>16204</v>
      </c>
      <c r="JN9" s="89">
        <v>13756</v>
      </c>
      <c r="JO9" s="89">
        <v>2448</v>
      </c>
      <c r="JP9" s="91">
        <v>0.83621406555175781</v>
      </c>
      <c r="JQ9" s="89">
        <v>296446</v>
      </c>
      <c r="JR9" s="89">
        <v>14885</v>
      </c>
      <c r="JS9" s="89">
        <v>13635</v>
      </c>
      <c r="JT9" s="89">
        <v>1250</v>
      </c>
      <c r="JU9" s="91">
        <v>0.42344745993614197</v>
      </c>
      <c r="JV9" s="89">
        <v>297086</v>
      </c>
      <c r="JW9" s="89">
        <v>13361</v>
      </c>
      <c r="JX9" s="89">
        <v>12721</v>
      </c>
      <c r="JY9" s="89">
        <v>640</v>
      </c>
      <c r="JZ9" s="91">
        <v>0.21589091420173645</v>
      </c>
      <c r="KA9" s="89">
        <v>297288</v>
      </c>
      <c r="KB9" s="89">
        <v>13706</v>
      </c>
      <c r="KC9" s="89">
        <v>13504</v>
      </c>
      <c r="KD9" s="89">
        <v>202</v>
      </c>
      <c r="KE9" s="91">
        <v>6.7993782460689545E-2</v>
      </c>
      <c r="KF9" s="89">
        <v>297061</v>
      </c>
      <c r="KG9" s="89">
        <v>12157</v>
      </c>
      <c r="KH9" s="89">
        <v>12384</v>
      </c>
      <c r="KI9" s="89">
        <v>-227</v>
      </c>
      <c r="KJ9" s="91">
        <v>-7.6356932520866394E-2</v>
      </c>
      <c r="KK9" s="89">
        <v>294716</v>
      </c>
      <c r="KL9" s="89">
        <v>9810</v>
      </c>
      <c r="KM9" s="89">
        <v>12155</v>
      </c>
      <c r="KN9" s="89">
        <v>-2345</v>
      </c>
      <c r="KO9" s="91">
        <v>-0.78940016031265259</v>
      </c>
      <c r="KP9" s="89">
        <v>294995</v>
      </c>
      <c r="KQ9" s="89">
        <v>14424</v>
      </c>
      <c r="KR9" s="89">
        <v>14145</v>
      </c>
      <c r="KS9" s="89">
        <v>279</v>
      </c>
      <c r="KT9" s="91">
        <v>9.4667412340641022E-2</v>
      </c>
      <c r="KU9" s="89">
        <v>298247</v>
      </c>
      <c r="KV9" s="89">
        <v>17122</v>
      </c>
      <c r="KW9" s="89">
        <v>13870</v>
      </c>
      <c r="KX9" s="89">
        <v>3252</v>
      </c>
      <c r="KY9" s="91">
        <v>1.1023916006088257</v>
      </c>
      <c r="KZ9" s="89">
        <v>299518</v>
      </c>
      <c r="LA9" s="89">
        <v>15404</v>
      </c>
      <c r="LB9" s="89">
        <v>14133</v>
      </c>
      <c r="LC9" s="89">
        <v>1271</v>
      </c>
      <c r="LD9" s="91">
        <v>0.42615684866905212</v>
      </c>
      <c r="LE9" s="89">
        <v>300589</v>
      </c>
      <c r="LF9" s="89">
        <v>14640</v>
      </c>
      <c r="LG9" s="89">
        <v>13569</v>
      </c>
      <c r="LH9" s="89">
        <v>1071</v>
      </c>
      <c r="LI9" s="91">
        <v>0.35757449269294739</v>
      </c>
      <c r="LJ9" s="89">
        <v>301586</v>
      </c>
      <c r="LK9" s="89">
        <v>14937</v>
      </c>
      <c r="LL9" s="89">
        <v>13940</v>
      </c>
      <c r="LM9" s="89">
        <v>997</v>
      </c>
      <c r="LN9" s="91">
        <v>0.33168214559555054</v>
      </c>
      <c r="LO9" s="89">
        <v>302864</v>
      </c>
      <c r="LP9" s="89">
        <v>14671</v>
      </c>
      <c r="LQ9" s="89">
        <v>13393</v>
      </c>
      <c r="LR9" s="89">
        <v>1278</v>
      </c>
      <c r="LS9" s="91">
        <v>0.42375972867012024</v>
      </c>
      <c r="LT9" s="89">
        <v>304250</v>
      </c>
      <c r="LU9" s="89">
        <v>15921</v>
      </c>
      <c r="LV9" s="89">
        <v>14535</v>
      </c>
      <c r="LW9" s="89">
        <v>1386</v>
      </c>
      <c r="LX9" s="91">
        <v>0.45763114094734192</v>
      </c>
      <c r="LY9" s="89">
        <v>305627</v>
      </c>
      <c r="LZ9" s="89">
        <v>14816</v>
      </c>
      <c r="MA9" s="89">
        <v>13439</v>
      </c>
      <c r="MB9" s="89">
        <v>1377</v>
      </c>
      <c r="MC9" s="91">
        <v>0.45258831977844238</v>
      </c>
      <c r="MD9" s="89">
        <v>306847</v>
      </c>
      <c r="ME9" s="89">
        <v>15300</v>
      </c>
      <c r="MF9" s="89">
        <v>14080</v>
      </c>
      <c r="MG9" s="89">
        <v>1220</v>
      </c>
      <c r="MH9" s="91">
        <v>0.39917939901351929</v>
      </c>
      <c r="MI9" s="89">
        <v>307477</v>
      </c>
      <c r="MJ9" s="89">
        <v>14920</v>
      </c>
      <c r="MK9" s="89">
        <v>14290</v>
      </c>
      <c r="ML9" s="89">
        <v>630</v>
      </c>
      <c r="MM9" s="91">
        <v>0.20531405508518219</v>
      </c>
      <c r="MN9" s="89">
        <v>307663</v>
      </c>
      <c r="MO9" s="89">
        <v>12800</v>
      </c>
      <c r="MP9" s="89">
        <v>12614</v>
      </c>
      <c r="MQ9" s="89">
        <v>186</v>
      </c>
      <c r="MR9" s="104">
        <v>6.0492329299449921E-2</v>
      </c>
      <c r="MS9" s="89">
        <v>305291</v>
      </c>
      <c r="MT9" s="89">
        <v>10184</v>
      </c>
      <c r="MU9" s="89">
        <v>12556</v>
      </c>
      <c r="MV9" s="89">
        <v>-2372</v>
      </c>
      <c r="MW9" s="104">
        <v>-0.77097344398498535</v>
      </c>
      <c r="MX9" s="89">
        <v>304938</v>
      </c>
      <c r="MY9" s="89">
        <v>14703</v>
      </c>
      <c r="MZ9" s="89">
        <v>15056</v>
      </c>
      <c r="NA9" s="89">
        <v>-353</v>
      </c>
      <c r="NB9" s="104">
        <v>-0.11562738567590714</v>
      </c>
      <c r="NC9" s="89">
        <v>306854</v>
      </c>
      <c r="ND9" s="89">
        <v>16180</v>
      </c>
      <c r="NE9" s="89">
        <v>14264</v>
      </c>
      <c r="NF9" s="89">
        <v>1916</v>
      </c>
      <c r="NG9" s="104">
        <v>0.62832444906234741</v>
      </c>
      <c r="NH9" s="89">
        <v>307408</v>
      </c>
      <c r="NI9" s="89">
        <v>16050</v>
      </c>
      <c r="NJ9" s="89">
        <v>15496</v>
      </c>
      <c r="NK9" s="89">
        <v>554</v>
      </c>
      <c r="NL9" s="104">
        <v>0.18054188787937164</v>
      </c>
      <c r="NM9" s="89">
        <f t="shared" si="2"/>
        <v>46933</v>
      </c>
      <c r="NN9" s="89">
        <f t="shared" si="3"/>
        <v>44816</v>
      </c>
      <c r="NO9" s="89">
        <f t="shared" si="4"/>
        <v>2117</v>
      </c>
      <c r="NP9" s="104">
        <f t="shared" si="5"/>
        <v>0.69343675378573233</v>
      </c>
      <c r="NQ9" s="89">
        <f t="shared" si="6"/>
        <v>175122</v>
      </c>
      <c r="NR9" s="89">
        <f t="shared" si="7"/>
        <v>167232</v>
      </c>
      <c r="NS9" s="89">
        <f t="shared" si="8"/>
        <v>7890</v>
      </c>
      <c r="NT9" s="104">
        <f t="shared" si="9"/>
        <v>2.63423233328214</v>
      </c>
      <c r="NU9" s="41"/>
      <c r="NV9" s="48"/>
    </row>
    <row r="10" spans="1:386" ht="31.5" customHeight="1">
      <c r="A10" s="41"/>
      <c r="B10" s="88" t="s">
        <v>16</v>
      </c>
      <c r="C10" s="89">
        <v>81342</v>
      </c>
      <c r="D10" s="89">
        <v>2987</v>
      </c>
      <c r="E10" s="89">
        <v>2794</v>
      </c>
      <c r="F10" s="90">
        <v>193</v>
      </c>
      <c r="G10" s="89">
        <v>82311</v>
      </c>
      <c r="H10" s="89">
        <v>3208</v>
      </c>
      <c r="I10" s="89">
        <v>2239</v>
      </c>
      <c r="J10" s="90">
        <v>969</v>
      </c>
      <c r="K10" s="91">
        <v>1.1912665367126465</v>
      </c>
      <c r="L10" s="89">
        <v>82426</v>
      </c>
      <c r="M10" s="89">
        <v>2914</v>
      </c>
      <c r="N10" s="89">
        <v>2799</v>
      </c>
      <c r="O10" s="90">
        <v>115</v>
      </c>
      <c r="P10" s="91">
        <v>0.13971401751041412</v>
      </c>
      <c r="Q10" s="89">
        <v>81856</v>
      </c>
      <c r="R10" s="89">
        <v>1795</v>
      </c>
      <c r="S10" s="89">
        <v>2365</v>
      </c>
      <c r="T10" s="90">
        <v>-570</v>
      </c>
      <c r="U10" s="91">
        <v>-0.69152939319610596</v>
      </c>
      <c r="V10" s="89">
        <v>81748</v>
      </c>
      <c r="W10" s="89">
        <v>1700</v>
      </c>
      <c r="X10" s="89">
        <v>1808</v>
      </c>
      <c r="Y10" s="90">
        <v>-108</v>
      </c>
      <c r="Z10" s="91">
        <v>-0.13193900883197784</v>
      </c>
      <c r="AA10" s="89">
        <v>81726</v>
      </c>
      <c r="AB10" s="89">
        <v>1754</v>
      </c>
      <c r="AC10" s="89">
        <v>1776</v>
      </c>
      <c r="AD10" s="90">
        <v>-22</v>
      </c>
      <c r="AE10" s="91">
        <v>-2.691197395324707E-2</v>
      </c>
      <c r="AF10" s="89">
        <v>81911</v>
      </c>
      <c r="AG10" s="89">
        <v>2190</v>
      </c>
      <c r="AH10" s="89">
        <v>2005</v>
      </c>
      <c r="AI10" s="90">
        <v>185</v>
      </c>
      <c r="AJ10" s="91">
        <v>0.22636614739894867</v>
      </c>
      <c r="AK10" s="89">
        <v>82520</v>
      </c>
      <c r="AL10" s="89">
        <v>2790</v>
      </c>
      <c r="AM10" s="89">
        <v>2181</v>
      </c>
      <c r="AN10" s="90">
        <v>609</v>
      </c>
      <c r="AO10" s="91">
        <v>0.74348986148834229</v>
      </c>
      <c r="AP10" s="89">
        <v>83035</v>
      </c>
      <c r="AQ10" s="89">
        <v>2561</v>
      </c>
      <c r="AR10" s="89">
        <v>2046</v>
      </c>
      <c r="AS10" s="90">
        <v>515</v>
      </c>
      <c r="AT10" s="91">
        <v>0.62409114837646484</v>
      </c>
      <c r="AU10" s="89">
        <v>83675</v>
      </c>
      <c r="AV10" s="89">
        <v>2883</v>
      </c>
      <c r="AW10" s="89">
        <v>2243</v>
      </c>
      <c r="AX10" s="90">
        <v>640</v>
      </c>
      <c r="AY10" s="91">
        <v>0.77075934410095215</v>
      </c>
      <c r="AZ10" s="89">
        <v>84206</v>
      </c>
      <c r="BA10" s="89">
        <v>2766</v>
      </c>
      <c r="BB10" s="89">
        <v>2235</v>
      </c>
      <c r="BC10" s="90">
        <v>531</v>
      </c>
      <c r="BD10" s="91">
        <v>0.63459813594818115</v>
      </c>
      <c r="BE10" s="89">
        <v>83753</v>
      </c>
      <c r="BF10" s="89">
        <v>1994</v>
      </c>
      <c r="BG10" s="89">
        <v>2447</v>
      </c>
      <c r="BH10" s="90">
        <v>-453</v>
      </c>
      <c r="BI10" s="91">
        <v>-0.53796643018722534</v>
      </c>
      <c r="BJ10" s="89">
        <v>84172</v>
      </c>
      <c r="BK10" s="89">
        <v>3011</v>
      </c>
      <c r="BL10" s="89">
        <v>2592</v>
      </c>
      <c r="BM10" s="90">
        <v>419</v>
      </c>
      <c r="BN10" s="91">
        <v>0.50028055906295776</v>
      </c>
      <c r="BO10" s="89">
        <v>85046</v>
      </c>
      <c r="BP10" s="89">
        <v>3456</v>
      </c>
      <c r="BQ10" s="89">
        <v>2582</v>
      </c>
      <c r="BR10" s="90">
        <v>874</v>
      </c>
      <c r="BS10" s="91">
        <v>1.038349986076355</v>
      </c>
      <c r="BT10" s="89">
        <v>85074</v>
      </c>
      <c r="BU10" s="89">
        <v>2815</v>
      </c>
      <c r="BV10" s="89">
        <v>2787</v>
      </c>
      <c r="BW10" s="90">
        <v>28</v>
      </c>
      <c r="BX10" s="91">
        <v>3.2923359423875809E-2</v>
      </c>
      <c r="BY10" s="89">
        <v>85431</v>
      </c>
      <c r="BZ10" s="89">
        <v>3111</v>
      </c>
      <c r="CA10" s="89">
        <v>2754</v>
      </c>
      <c r="CB10" s="90">
        <v>357</v>
      </c>
      <c r="CC10" s="91">
        <v>0.41963467001914978</v>
      </c>
      <c r="CD10" s="89">
        <v>86773</v>
      </c>
      <c r="CE10" s="89">
        <v>4344</v>
      </c>
      <c r="CF10" s="89">
        <v>3002</v>
      </c>
      <c r="CG10" s="89">
        <v>1342</v>
      </c>
      <c r="CH10" s="91">
        <v>1.570858359336853</v>
      </c>
      <c r="CI10" s="89">
        <v>87831</v>
      </c>
      <c r="CJ10" s="89">
        <v>3603</v>
      </c>
      <c r="CK10" s="89">
        <v>2545</v>
      </c>
      <c r="CL10" s="89">
        <v>1058</v>
      </c>
      <c r="CM10" s="91">
        <v>1.2192733287811279</v>
      </c>
      <c r="CN10" s="89">
        <v>88726</v>
      </c>
      <c r="CO10" s="89">
        <v>4112</v>
      </c>
      <c r="CP10" s="89">
        <v>3217</v>
      </c>
      <c r="CQ10" s="90">
        <v>895</v>
      </c>
      <c r="CR10" s="91">
        <v>1.0190024375915527</v>
      </c>
      <c r="CS10" s="89">
        <v>89127</v>
      </c>
      <c r="CT10" s="89">
        <v>3766</v>
      </c>
      <c r="CU10" s="89">
        <v>3365</v>
      </c>
      <c r="CV10" s="90">
        <v>401</v>
      </c>
      <c r="CW10" s="91">
        <v>0.45195320248603821</v>
      </c>
      <c r="CX10" s="89">
        <v>90158</v>
      </c>
      <c r="CY10" s="89">
        <v>4641</v>
      </c>
      <c r="CZ10" s="89">
        <v>3610</v>
      </c>
      <c r="DA10" s="89">
        <v>1031</v>
      </c>
      <c r="DB10" s="91">
        <v>1.1567763090133667</v>
      </c>
      <c r="DC10" s="89">
        <v>91126</v>
      </c>
      <c r="DD10" s="89">
        <v>4108</v>
      </c>
      <c r="DE10" s="89">
        <v>3140</v>
      </c>
      <c r="DF10" s="90">
        <v>968</v>
      </c>
      <c r="DG10" s="91">
        <v>1.0736706256866455</v>
      </c>
      <c r="DH10" s="89">
        <v>92050</v>
      </c>
      <c r="DI10" s="89">
        <v>3778</v>
      </c>
      <c r="DJ10" s="89">
        <v>2854</v>
      </c>
      <c r="DK10" s="90">
        <v>924</v>
      </c>
      <c r="DL10" s="91">
        <v>1.0139806270599365</v>
      </c>
      <c r="DM10" s="89">
        <v>91786</v>
      </c>
      <c r="DN10" s="89">
        <v>2744</v>
      </c>
      <c r="DO10" s="89">
        <v>3008</v>
      </c>
      <c r="DP10" s="90">
        <v>-264</v>
      </c>
      <c r="DQ10" s="91">
        <v>-0.28680065274238586</v>
      </c>
      <c r="DR10" s="89">
        <v>91993</v>
      </c>
      <c r="DS10" s="89">
        <v>3570</v>
      </c>
      <c r="DT10" s="89">
        <v>3363</v>
      </c>
      <c r="DU10" s="90">
        <v>207</v>
      </c>
      <c r="DV10" s="91">
        <v>0.22552458941936493</v>
      </c>
      <c r="DW10" s="89">
        <v>92667</v>
      </c>
      <c r="DX10" s="89">
        <v>4204</v>
      </c>
      <c r="DY10" s="89">
        <v>3530</v>
      </c>
      <c r="DZ10" s="90">
        <v>674</v>
      </c>
      <c r="EA10" s="91">
        <v>0.73266446590423584</v>
      </c>
      <c r="EB10" s="89">
        <v>93365</v>
      </c>
      <c r="EC10" s="89">
        <v>4287</v>
      </c>
      <c r="ED10" s="89">
        <v>3589</v>
      </c>
      <c r="EE10" s="90">
        <v>698</v>
      </c>
      <c r="EF10" s="91">
        <v>0.75323468446731567</v>
      </c>
      <c r="EG10" s="89">
        <v>94163</v>
      </c>
      <c r="EH10" s="89">
        <v>4107</v>
      </c>
      <c r="EI10" s="89">
        <v>3309</v>
      </c>
      <c r="EJ10" s="90">
        <v>798</v>
      </c>
      <c r="EK10" s="91">
        <v>0.85470998287200928</v>
      </c>
      <c r="EL10" s="89">
        <v>95023</v>
      </c>
      <c r="EM10" s="89">
        <v>4950</v>
      </c>
      <c r="EN10" s="89">
        <v>4090</v>
      </c>
      <c r="EO10" s="90">
        <v>860</v>
      </c>
      <c r="EP10" s="91">
        <v>0.91330987215042114</v>
      </c>
      <c r="EQ10" s="89">
        <v>96252</v>
      </c>
      <c r="ER10" s="89">
        <v>4906</v>
      </c>
      <c r="ES10" s="89">
        <v>3677</v>
      </c>
      <c r="ET10" s="89">
        <v>1229</v>
      </c>
      <c r="EU10" s="91">
        <v>1.2933710813522339</v>
      </c>
      <c r="EV10" s="89">
        <v>97353</v>
      </c>
      <c r="EW10" s="89">
        <v>5151</v>
      </c>
      <c r="EX10" s="89">
        <v>4050</v>
      </c>
      <c r="EY10" s="89">
        <v>1101</v>
      </c>
      <c r="EZ10" s="91">
        <v>1.1438723802566528</v>
      </c>
      <c r="FA10" s="89">
        <v>98350</v>
      </c>
      <c r="FB10" s="89">
        <v>4734</v>
      </c>
      <c r="FC10" s="89">
        <v>3737</v>
      </c>
      <c r="FD10" s="89">
        <v>997</v>
      </c>
      <c r="FE10" s="91">
        <v>1.0241081714630127</v>
      </c>
      <c r="FF10" s="89">
        <v>99072</v>
      </c>
      <c r="FG10" s="89">
        <v>3873</v>
      </c>
      <c r="FH10" s="89">
        <v>3151</v>
      </c>
      <c r="FI10" s="90">
        <v>722</v>
      </c>
      <c r="FJ10" s="91">
        <v>0.73411285877227783</v>
      </c>
      <c r="FK10" s="89">
        <v>99776</v>
      </c>
      <c r="FL10" s="89">
        <v>3985</v>
      </c>
      <c r="FM10" s="89">
        <v>3281</v>
      </c>
      <c r="FN10" s="90">
        <v>704</v>
      </c>
      <c r="FO10" s="91">
        <v>0.7105942964553833</v>
      </c>
      <c r="FP10" s="89">
        <v>100234</v>
      </c>
      <c r="FQ10" s="89">
        <v>3634</v>
      </c>
      <c r="FR10" s="89">
        <v>3176</v>
      </c>
      <c r="FS10" s="90">
        <v>458</v>
      </c>
      <c r="FT10" s="91">
        <v>0.4590282142162323</v>
      </c>
      <c r="FU10" s="89">
        <v>99387</v>
      </c>
      <c r="FV10" s="89">
        <v>2455</v>
      </c>
      <c r="FW10" s="89">
        <v>3302</v>
      </c>
      <c r="FX10" s="90">
        <v>-847</v>
      </c>
      <c r="FY10" s="91">
        <v>-0.84502261877059937</v>
      </c>
      <c r="FZ10" s="89">
        <v>98465</v>
      </c>
      <c r="GA10" s="89">
        <v>3775</v>
      </c>
      <c r="GB10" s="89">
        <v>4697</v>
      </c>
      <c r="GC10" s="90">
        <v>-922</v>
      </c>
      <c r="GD10" s="91">
        <v>-0.92768669128417969</v>
      </c>
      <c r="GE10" s="89">
        <v>99260</v>
      </c>
      <c r="GF10" s="89">
        <v>4317</v>
      </c>
      <c r="GG10" s="89">
        <v>3522</v>
      </c>
      <c r="GH10" s="90">
        <v>795</v>
      </c>
      <c r="GI10" s="91">
        <v>0.80739349126815796</v>
      </c>
      <c r="GJ10" s="89">
        <v>100041</v>
      </c>
      <c r="GK10" s="89">
        <v>5153</v>
      </c>
      <c r="GL10" s="89">
        <v>4372</v>
      </c>
      <c r="GM10" s="90">
        <v>781</v>
      </c>
      <c r="GN10" s="91">
        <v>0.78682249784469604</v>
      </c>
      <c r="GO10" s="89">
        <v>100423</v>
      </c>
      <c r="GP10" s="89">
        <v>4053</v>
      </c>
      <c r="GQ10" s="89">
        <v>3671</v>
      </c>
      <c r="GR10" s="90">
        <v>382</v>
      </c>
      <c r="GS10" s="91">
        <v>0.3818434476852417</v>
      </c>
      <c r="GT10" s="89">
        <v>100945</v>
      </c>
      <c r="GU10" s="89">
        <v>4642</v>
      </c>
      <c r="GV10" s="89">
        <v>4120</v>
      </c>
      <c r="GW10" s="90">
        <v>522</v>
      </c>
      <c r="GX10" s="91">
        <v>0.51980125904083252</v>
      </c>
      <c r="GY10" s="89">
        <v>102203</v>
      </c>
      <c r="GZ10" s="89">
        <v>4749</v>
      </c>
      <c r="HA10" s="89">
        <v>3491</v>
      </c>
      <c r="HB10" s="89">
        <v>1258</v>
      </c>
      <c r="HC10" s="91">
        <v>1.2462232112884521</v>
      </c>
      <c r="HD10" s="89">
        <v>103010</v>
      </c>
      <c r="HE10" s="89">
        <v>4358</v>
      </c>
      <c r="HF10" s="89">
        <v>3551</v>
      </c>
      <c r="HG10" s="90">
        <v>807</v>
      </c>
      <c r="HH10" s="91">
        <v>0.78960502147674561</v>
      </c>
      <c r="HI10" s="89">
        <v>103571</v>
      </c>
      <c r="HJ10" s="89">
        <v>4626</v>
      </c>
      <c r="HK10" s="89">
        <v>4065</v>
      </c>
      <c r="HL10" s="90">
        <v>561</v>
      </c>
      <c r="HM10" s="91">
        <v>0.54460734128952026</v>
      </c>
      <c r="HN10" s="89">
        <v>103885</v>
      </c>
      <c r="HO10" s="89">
        <v>3908</v>
      </c>
      <c r="HP10" s="89">
        <v>3594</v>
      </c>
      <c r="HQ10" s="90">
        <v>314</v>
      </c>
      <c r="HR10" s="91">
        <v>0.30317366123199463</v>
      </c>
      <c r="HS10" s="89">
        <v>103952</v>
      </c>
      <c r="HT10" s="89">
        <v>3982</v>
      </c>
      <c r="HU10" s="89">
        <v>3915</v>
      </c>
      <c r="HV10" s="90">
        <v>67</v>
      </c>
      <c r="HW10" s="91">
        <v>6.4494393765926361E-2</v>
      </c>
      <c r="HX10" s="89">
        <v>104210</v>
      </c>
      <c r="HY10" s="89">
        <v>3871</v>
      </c>
      <c r="HZ10" s="89">
        <v>3613</v>
      </c>
      <c r="IA10" s="90">
        <v>258</v>
      </c>
      <c r="IB10" s="91">
        <v>0.2481914758682251</v>
      </c>
      <c r="IC10" s="89">
        <v>103836</v>
      </c>
      <c r="ID10" s="89">
        <v>3520</v>
      </c>
      <c r="IE10" s="89">
        <v>3894</v>
      </c>
      <c r="IF10" s="90">
        <v>-374</v>
      </c>
      <c r="IG10" s="91">
        <v>-0.35889071226119995</v>
      </c>
      <c r="IH10" s="89">
        <v>103787</v>
      </c>
      <c r="II10" s="89">
        <v>4086</v>
      </c>
      <c r="IJ10" s="89">
        <v>4135</v>
      </c>
      <c r="IK10" s="90">
        <v>-49</v>
      </c>
      <c r="IL10" s="91">
        <v>-4.7189798206090927E-2</v>
      </c>
      <c r="IM10" s="89">
        <v>104666</v>
      </c>
      <c r="IN10" s="89">
        <v>4888</v>
      </c>
      <c r="IO10" s="89">
        <v>4009</v>
      </c>
      <c r="IP10" s="90">
        <v>879</v>
      </c>
      <c r="IQ10" s="91">
        <v>0.84692686796188354</v>
      </c>
      <c r="IR10" s="89">
        <v>105938</v>
      </c>
      <c r="IS10" s="89">
        <v>5164</v>
      </c>
      <c r="IT10" s="89">
        <v>3892</v>
      </c>
      <c r="IU10" s="90">
        <v>1272</v>
      </c>
      <c r="IV10" s="91">
        <v>1.215294361114502</v>
      </c>
      <c r="IW10" s="89">
        <v>107256</v>
      </c>
      <c r="IX10" s="89">
        <v>5214</v>
      </c>
      <c r="IY10" s="89">
        <v>3896</v>
      </c>
      <c r="IZ10" s="90">
        <v>1318</v>
      </c>
      <c r="JA10" s="91">
        <v>1.2441239356994629</v>
      </c>
      <c r="JB10" s="89">
        <v>108246</v>
      </c>
      <c r="JC10" s="89">
        <v>4853</v>
      </c>
      <c r="JD10" s="89">
        <v>3863</v>
      </c>
      <c r="JE10" s="90">
        <v>990</v>
      </c>
      <c r="JF10" s="91">
        <v>0.92302531003952026</v>
      </c>
      <c r="JG10" s="89">
        <v>109310</v>
      </c>
      <c r="JH10" s="89">
        <v>4601</v>
      </c>
      <c r="JI10" s="89">
        <v>3537</v>
      </c>
      <c r="JJ10" s="90">
        <v>1064</v>
      </c>
      <c r="JK10" s="91">
        <v>0.98294627666473389</v>
      </c>
      <c r="JL10" s="89">
        <v>109922</v>
      </c>
      <c r="JM10" s="89">
        <v>4862</v>
      </c>
      <c r="JN10" s="89">
        <v>4250</v>
      </c>
      <c r="JO10" s="90">
        <v>612</v>
      </c>
      <c r="JP10" s="91">
        <v>0.55987560749053955</v>
      </c>
      <c r="JQ10" s="89">
        <v>110302</v>
      </c>
      <c r="JR10" s="89">
        <v>4586</v>
      </c>
      <c r="JS10" s="89">
        <v>4206</v>
      </c>
      <c r="JT10" s="90">
        <v>380</v>
      </c>
      <c r="JU10" s="91">
        <v>0.34569966793060303</v>
      </c>
      <c r="JV10" s="89">
        <v>111394</v>
      </c>
      <c r="JW10" s="89">
        <v>4717</v>
      </c>
      <c r="JX10" s="89">
        <v>3625</v>
      </c>
      <c r="JY10" s="90">
        <v>1092</v>
      </c>
      <c r="JZ10" s="91">
        <v>0.99000924825668335</v>
      </c>
      <c r="KA10" s="89">
        <v>111644</v>
      </c>
      <c r="KB10" s="89">
        <v>4757</v>
      </c>
      <c r="KC10" s="89">
        <v>4507</v>
      </c>
      <c r="KD10" s="90">
        <v>250</v>
      </c>
      <c r="KE10" s="91">
        <v>0.22442860901355743</v>
      </c>
      <c r="KF10" s="89">
        <v>111348</v>
      </c>
      <c r="KG10" s="89">
        <v>3994</v>
      </c>
      <c r="KH10" s="89">
        <v>4290</v>
      </c>
      <c r="KI10" s="90">
        <v>-296</v>
      </c>
      <c r="KJ10" s="91">
        <v>-0.26512843370437622</v>
      </c>
      <c r="KK10" s="89">
        <v>110517</v>
      </c>
      <c r="KL10" s="89">
        <v>3060</v>
      </c>
      <c r="KM10" s="89">
        <v>3891</v>
      </c>
      <c r="KN10" s="90">
        <v>-831</v>
      </c>
      <c r="KO10" s="91">
        <v>-0.74630886316299438</v>
      </c>
      <c r="KP10" s="89">
        <v>110041</v>
      </c>
      <c r="KQ10" s="89">
        <v>4157</v>
      </c>
      <c r="KR10" s="89">
        <v>4633</v>
      </c>
      <c r="KS10" s="90">
        <v>-476</v>
      </c>
      <c r="KT10" s="91">
        <v>-0.43070295453071594</v>
      </c>
      <c r="KU10" s="89">
        <v>110811</v>
      </c>
      <c r="KV10" s="89">
        <v>5617</v>
      </c>
      <c r="KW10" s="89">
        <v>4847</v>
      </c>
      <c r="KX10" s="90">
        <v>770</v>
      </c>
      <c r="KY10" s="91">
        <v>0.69973921775817871</v>
      </c>
      <c r="KZ10" s="89">
        <v>111314</v>
      </c>
      <c r="LA10" s="89">
        <v>5036</v>
      </c>
      <c r="LB10" s="89">
        <v>4533</v>
      </c>
      <c r="LC10" s="90">
        <v>503</v>
      </c>
      <c r="LD10" s="91">
        <v>0.45392605662345886</v>
      </c>
      <c r="LE10" s="89">
        <v>112109</v>
      </c>
      <c r="LF10" s="89">
        <v>4957</v>
      </c>
      <c r="LG10" s="89">
        <v>4162</v>
      </c>
      <c r="LH10" s="90">
        <v>795</v>
      </c>
      <c r="LI10" s="91">
        <v>0.71419590711593628</v>
      </c>
      <c r="LJ10" s="89">
        <v>113688</v>
      </c>
      <c r="LK10" s="89">
        <v>6074</v>
      </c>
      <c r="LL10" s="89">
        <v>4495</v>
      </c>
      <c r="LM10" s="90">
        <v>1579</v>
      </c>
      <c r="LN10" s="91">
        <v>1.408450722694397</v>
      </c>
      <c r="LO10" s="89">
        <v>114583</v>
      </c>
      <c r="LP10" s="89">
        <v>5185</v>
      </c>
      <c r="LQ10" s="89">
        <v>4290</v>
      </c>
      <c r="LR10" s="90">
        <v>895</v>
      </c>
      <c r="LS10" s="91">
        <v>0.78724229335784912</v>
      </c>
      <c r="LT10" s="89">
        <v>114784</v>
      </c>
      <c r="LU10" s="89">
        <v>4621</v>
      </c>
      <c r="LV10" s="89">
        <v>4420</v>
      </c>
      <c r="LW10" s="90">
        <v>201</v>
      </c>
      <c r="LX10" s="91">
        <v>0.17541868984699249</v>
      </c>
      <c r="LY10" s="89">
        <v>115701</v>
      </c>
      <c r="LZ10" s="89">
        <v>5096</v>
      </c>
      <c r="MA10" s="89">
        <v>4179</v>
      </c>
      <c r="MB10" s="90">
        <v>917</v>
      </c>
      <c r="MC10" s="91">
        <v>0.79889184236526489</v>
      </c>
      <c r="MD10" s="89">
        <v>116550</v>
      </c>
      <c r="ME10" s="89">
        <v>4612</v>
      </c>
      <c r="MF10" s="89">
        <v>3763</v>
      </c>
      <c r="MG10" s="90">
        <v>849</v>
      </c>
      <c r="MH10" s="91">
        <v>0.73378795385360718</v>
      </c>
      <c r="MI10" s="89">
        <v>116400</v>
      </c>
      <c r="MJ10" s="89">
        <v>4271</v>
      </c>
      <c r="MK10" s="89">
        <v>4421</v>
      </c>
      <c r="ML10" s="90">
        <v>-150</v>
      </c>
      <c r="MM10" s="91">
        <v>-0.12870012223720551</v>
      </c>
      <c r="MN10" s="89">
        <v>116308</v>
      </c>
      <c r="MO10" s="89">
        <v>4626</v>
      </c>
      <c r="MP10" s="89">
        <v>4718</v>
      </c>
      <c r="MQ10" s="90">
        <v>-92</v>
      </c>
      <c r="MR10" s="104">
        <v>-7.9037800431251526E-2</v>
      </c>
      <c r="MS10" s="89">
        <v>115798</v>
      </c>
      <c r="MT10" s="89">
        <v>3337</v>
      </c>
      <c r="MU10" s="89">
        <v>3847</v>
      </c>
      <c r="MV10" s="90">
        <v>-510</v>
      </c>
      <c r="MW10" s="104">
        <v>-0.43849089741706848</v>
      </c>
      <c r="MX10" s="89">
        <v>114879</v>
      </c>
      <c r="MY10" s="89">
        <v>3920</v>
      </c>
      <c r="MZ10" s="89">
        <v>4839</v>
      </c>
      <c r="NA10" s="90">
        <v>-919</v>
      </c>
      <c r="NB10" s="104">
        <v>-0.79362338781356812</v>
      </c>
      <c r="NC10" s="89">
        <v>115415</v>
      </c>
      <c r="ND10" s="89">
        <v>5490</v>
      </c>
      <c r="NE10" s="89">
        <v>4954</v>
      </c>
      <c r="NF10" s="90">
        <v>536</v>
      </c>
      <c r="NG10" s="104">
        <v>0.46657788753509521</v>
      </c>
      <c r="NH10" s="89">
        <v>116481</v>
      </c>
      <c r="NI10" s="89">
        <v>5725</v>
      </c>
      <c r="NJ10" s="89">
        <v>4659</v>
      </c>
      <c r="NK10" s="90">
        <v>1066</v>
      </c>
      <c r="NL10" s="104">
        <v>0.92362344264984131</v>
      </c>
      <c r="NM10" s="89">
        <f t="shared" si="2"/>
        <v>15135</v>
      </c>
      <c r="NN10" s="89">
        <f t="shared" si="3"/>
        <v>14452</v>
      </c>
      <c r="NO10" s="90">
        <f t="shared" si="4"/>
        <v>683</v>
      </c>
      <c r="NP10" s="104">
        <f t="shared" si="5"/>
        <v>0.58982020414860359</v>
      </c>
      <c r="NQ10" s="89">
        <f t="shared" si="6"/>
        <v>57914</v>
      </c>
      <c r="NR10" s="89">
        <f t="shared" si="7"/>
        <v>52747</v>
      </c>
      <c r="NS10" s="90">
        <f t="shared" si="8"/>
        <v>5167</v>
      </c>
      <c r="NT10" s="104">
        <f t="shared" si="9"/>
        <v>4.6418240293224571</v>
      </c>
      <c r="NU10" s="41"/>
    </row>
  </sheetData>
  <mergeCells count="83">
    <mergeCell ref="NH5:NL5"/>
    <mergeCell ref="MS5:MW5"/>
    <mergeCell ref="LO5:LS5"/>
    <mergeCell ref="LT5:LX5"/>
    <mergeCell ref="LY5:MC5"/>
    <mergeCell ref="MD5:MH5"/>
    <mergeCell ref="MI5:MM5"/>
    <mergeCell ref="MN5:MR5"/>
    <mergeCell ref="DM5:DQ5"/>
    <mergeCell ref="BJ5:BN5"/>
    <mergeCell ref="Q5:U5"/>
    <mergeCell ref="V5:Z5"/>
    <mergeCell ref="BO5:BS5"/>
    <mergeCell ref="BT5:BX5"/>
    <mergeCell ref="BY5:CC5"/>
    <mergeCell ref="CI5:CM5"/>
    <mergeCell ref="CN5:CR5"/>
    <mergeCell ref="CS5:CW5"/>
    <mergeCell ref="CX5:DB5"/>
    <mergeCell ref="EV5:EZ5"/>
    <mergeCell ref="JQ5:JU5"/>
    <mergeCell ref="JL5:JP5"/>
    <mergeCell ref="JG5:JK5"/>
    <mergeCell ref="FA5:FE5"/>
    <mergeCell ref="IW5:JA5"/>
    <mergeCell ref="HX5:IB5"/>
    <mergeCell ref="IC5:IG5"/>
    <mergeCell ref="IH5:IL5"/>
    <mergeCell ref="FZ5:GD5"/>
    <mergeCell ref="FK5:FO5"/>
    <mergeCell ref="FF5:FJ5"/>
    <mergeCell ref="IM5:IQ5"/>
    <mergeCell ref="GO5:GS5"/>
    <mergeCell ref="FP5:FT5"/>
    <mergeCell ref="GE5:GI5"/>
    <mergeCell ref="EL5:EP5"/>
    <mergeCell ref="A4:B4"/>
    <mergeCell ref="B5:B6"/>
    <mergeCell ref="EG5:EK5"/>
    <mergeCell ref="AU5:AY5"/>
    <mergeCell ref="G5:K5"/>
    <mergeCell ref="BE5:BI5"/>
    <mergeCell ref="L5:P5"/>
    <mergeCell ref="AZ5:BD5"/>
    <mergeCell ref="C5:F5"/>
    <mergeCell ref="DC5:DG5"/>
    <mergeCell ref="DH5:DL5"/>
    <mergeCell ref="AA5:AE5"/>
    <mergeCell ref="AF5:AJ5"/>
    <mergeCell ref="AK5:AO5"/>
    <mergeCell ref="AP5:AT5"/>
    <mergeCell ref="IQ1:KJ1"/>
    <mergeCell ref="IQ2:KJ2"/>
    <mergeCell ref="A3:B3"/>
    <mergeCell ref="IQ3:KJ3"/>
    <mergeCell ref="CD5:CH5"/>
    <mergeCell ref="DR5:DV5"/>
    <mergeCell ref="DW5:EA5"/>
    <mergeCell ref="EB5:EF5"/>
    <mergeCell ref="GY5:HC5"/>
    <mergeCell ref="HD5:HH5"/>
    <mergeCell ref="HI5:HM5"/>
    <mergeCell ref="HN5:HR5"/>
    <mergeCell ref="HS5:HW5"/>
    <mergeCell ref="IR5:IV5"/>
    <mergeCell ref="EQ5:EU5"/>
    <mergeCell ref="FU5:FY5"/>
    <mergeCell ref="GJ5:GN5"/>
    <mergeCell ref="KA5:KE5"/>
    <mergeCell ref="KF5:KJ5"/>
    <mergeCell ref="KK5:KO5"/>
    <mergeCell ref="NQ5:NT5"/>
    <mergeCell ref="MX5:NB5"/>
    <mergeCell ref="LE5:LI5"/>
    <mergeCell ref="KZ5:LD5"/>
    <mergeCell ref="JB5:JF5"/>
    <mergeCell ref="KP5:KT5"/>
    <mergeCell ref="KU5:KY5"/>
    <mergeCell ref="LJ5:LN5"/>
    <mergeCell ref="NC5:NG5"/>
    <mergeCell ref="NM5:NP5"/>
    <mergeCell ref="GT5:GX5"/>
    <mergeCell ref="JV5:JZ5"/>
  </mergeCells>
  <printOptions horizontalCentered="1" verticalCentered="1"/>
  <pageMargins left="0" right="0" top="0" bottom="0" header="0.19" footer="0.18"/>
  <pageSetup paperSize="9" scale="6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91F6-9E9A-42D5-8016-8872ADD985FA}">
  <dimension ref="A1:NW10"/>
  <sheetViews>
    <sheetView showGridLines="0" zoomScaleNormal="100" workbookViewId="0">
      <pane xSplit="4" ySplit="6" topLeftCell="E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RowHeight="15" customHeight="1"/>
  <cols>
    <col min="1" max="1" width="0.7109375" customWidth="1"/>
    <col min="2" max="3" width="16.7109375" customWidth="1"/>
    <col min="4" max="4" width="33.42578125" customWidth="1"/>
    <col min="5" max="251" width="16.28515625" customWidth="1"/>
    <col min="252" max="253" width="16.140625" customWidth="1"/>
    <col min="254" max="256" width="16.28515625" customWidth="1"/>
    <col min="257" max="258" width="16.140625" customWidth="1"/>
    <col min="259" max="261" width="16.28515625" customWidth="1"/>
    <col min="262" max="263" width="16.140625" customWidth="1"/>
    <col min="264" max="266" width="16.28515625" customWidth="1"/>
    <col min="267" max="268" width="16.140625" customWidth="1"/>
    <col min="269" max="271" width="16.28515625" customWidth="1"/>
    <col min="272" max="273" width="16.140625" customWidth="1"/>
    <col min="274" max="276" width="16.28515625" customWidth="1"/>
    <col min="277" max="278" width="16.140625" customWidth="1"/>
    <col min="279" max="281" width="16.28515625" customWidth="1"/>
    <col min="282" max="283" width="16.140625" customWidth="1"/>
    <col min="284" max="286" width="16.28515625" customWidth="1"/>
    <col min="287" max="288" width="16.140625" customWidth="1"/>
    <col min="289" max="291" width="16.28515625" customWidth="1"/>
    <col min="292" max="293" width="16.140625" customWidth="1"/>
    <col min="294" max="296" width="16.28515625" customWidth="1"/>
    <col min="297" max="298" width="16.140625" customWidth="1"/>
    <col min="299" max="301" width="16.28515625" customWidth="1"/>
    <col min="302" max="303" width="16.140625" customWidth="1"/>
    <col min="304" max="306" width="16.28515625" customWidth="1"/>
    <col min="307" max="308" width="16.140625" customWidth="1"/>
    <col min="309" max="311" width="16.28515625" customWidth="1"/>
    <col min="312" max="313" width="16.140625" customWidth="1"/>
    <col min="314" max="316" width="16.28515625" customWidth="1"/>
    <col min="317" max="318" width="16.140625" customWidth="1"/>
    <col min="319" max="321" width="16.28515625" customWidth="1"/>
    <col min="322" max="323" width="16.140625" customWidth="1"/>
    <col min="324" max="326" width="16.28515625" customWidth="1"/>
    <col min="327" max="328" width="16.140625" customWidth="1"/>
    <col min="329" max="331" width="16.28515625" customWidth="1"/>
    <col min="332" max="333" width="16.140625" customWidth="1"/>
    <col min="334" max="336" width="16.28515625" customWidth="1"/>
    <col min="337" max="338" width="16.140625" customWidth="1"/>
    <col min="339" max="341" width="16.28515625" customWidth="1"/>
    <col min="342" max="343" width="16.140625" customWidth="1"/>
    <col min="344" max="346" width="16.28515625" customWidth="1"/>
    <col min="347" max="348" width="16.140625" customWidth="1"/>
    <col min="349" max="351" width="16.28515625" customWidth="1"/>
    <col min="352" max="353" width="16.140625" customWidth="1"/>
    <col min="354" max="356" width="16.28515625" customWidth="1"/>
    <col min="357" max="358" width="16.140625" customWidth="1"/>
    <col min="359" max="361" width="16.28515625" customWidth="1"/>
    <col min="362" max="363" width="16.140625" customWidth="1"/>
    <col min="364" max="366" width="16.28515625" customWidth="1"/>
    <col min="367" max="386" width="16.140625" customWidth="1"/>
    <col min="387" max="387" width="0.7109375" customWidth="1"/>
    <col min="611" max="611" width="33.42578125" bestFit="1" customWidth="1"/>
    <col min="612" max="629" width="12" customWidth="1"/>
    <col min="631" max="631" width="33.42578125" bestFit="1" customWidth="1"/>
    <col min="632" max="632" width="10.5703125" customWidth="1"/>
    <col min="633" max="633" width="24.42578125" customWidth="1"/>
    <col min="634" max="634" width="17.5703125" customWidth="1"/>
    <col min="867" max="867" width="33.42578125" bestFit="1" customWidth="1"/>
    <col min="868" max="885" width="12" customWidth="1"/>
    <col min="887" max="887" width="33.42578125" bestFit="1" customWidth="1"/>
    <col min="888" max="888" width="10.5703125" customWidth="1"/>
    <col min="889" max="889" width="24.42578125" customWidth="1"/>
    <col min="890" max="890" width="17.5703125" customWidth="1"/>
    <col min="1123" max="1123" width="33.42578125" bestFit="1" customWidth="1"/>
    <col min="1124" max="1141" width="12" customWidth="1"/>
    <col min="1143" max="1143" width="33.42578125" bestFit="1" customWidth="1"/>
    <col min="1144" max="1144" width="10.5703125" customWidth="1"/>
    <col min="1145" max="1145" width="24.42578125" customWidth="1"/>
    <col min="1146" max="1146" width="17.5703125" customWidth="1"/>
    <col min="1379" max="1379" width="33.42578125" bestFit="1" customWidth="1"/>
    <col min="1380" max="1397" width="12" customWidth="1"/>
    <col min="1399" max="1399" width="33.42578125" bestFit="1" customWidth="1"/>
    <col min="1400" max="1400" width="10.5703125" customWidth="1"/>
    <col min="1401" max="1401" width="24.42578125" customWidth="1"/>
    <col min="1402" max="1402" width="17.5703125" customWidth="1"/>
    <col min="1635" max="1635" width="33.42578125" bestFit="1" customWidth="1"/>
    <col min="1636" max="1653" width="12" customWidth="1"/>
    <col min="1655" max="1655" width="33.42578125" bestFit="1" customWidth="1"/>
    <col min="1656" max="1656" width="10.5703125" customWidth="1"/>
    <col min="1657" max="1657" width="24.42578125" customWidth="1"/>
    <col min="1658" max="1658" width="17.5703125" customWidth="1"/>
    <col min="1891" max="1891" width="33.42578125" bestFit="1" customWidth="1"/>
    <col min="1892" max="1909" width="12" customWidth="1"/>
    <col min="1911" max="1911" width="33.42578125" bestFit="1" customWidth="1"/>
    <col min="1912" max="1912" width="10.5703125" customWidth="1"/>
    <col min="1913" max="1913" width="24.42578125" customWidth="1"/>
    <col min="1914" max="1914" width="17.5703125" customWidth="1"/>
    <col min="2147" max="2147" width="33.42578125" bestFit="1" customWidth="1"/>
    <col min="2148" max="2165" width="12" customWidth="1"/>
    <col min="2167" max="2167" width="33.42578125" bestFit="1" customWidth="1"/>
    <col min="2168" max="2168" width="10.5703125" customWidth="1"/>
    <col min="2169" max="2169" width="24.42578125" customWidth="1"/>
    <col min="2170" max="2170" width="17.5703125" customWidth="1"/>
    <col min="2403" max="2403" width="33.42578125" bestFit="1" customWidth="1"/>
    <col min="2404" max="2421" width="12" customWidth="1"/>
    <col min="2423" max="2423" width="33.42578125" bestFit="1" customWidth="1"/>
    <col min="2424" max="2424" width="10.5703125" customWidth="1"/>
    <col min="2425" max="2425" width="24.42578125" customWidth="1"/>
    <col min="2426" max="2426" width="17.5703125" customWidth="1"/>
    <col min="2659" max="2659" width="33.42578125" bestFit="1" customWidth="1"/>
    <col min="2660" max="2677" width="12" customWidth="1"/>
    <col min="2679" max="2679" width="33.42578125" bestFit="1" customWidth="1"/>
    <col min="2680" max="2680" width="10.5703125" customWidth="1"/>
    <col min="2681" max="2681" width="24.42578125" customWidth="1"/>
    <col min="2682" max="2682" width="17.5703125" customWidth="1"/>
    <col min="2915" max="2915" width="33.42578125" bestFit="1" customWidth="1"/>
    <col min="2916" max="2933" width="12" customWidth="1"/>
    <col min="2935" max="2935" width="33.42578125" bestFit="1" customWidth="1"/>
    <col min="2936" max="2936" width="10.5703125" customWidth="1"/>
    <col min="2937" max="2937" width="24.42578125" customWidth="1"/>
    <col min="2938" max="2938" width="17.5703125" customWidth="1"/>
    <col min="3171" max="3171" width="33.42578125" bestFit="1" customWidth="1"/>
    <col min="3172" max="3189" width="12" customWidth="1"/>
    <col min="3191" max="3191" width="33.42578125" bestFit="1" customWidth="1"/>
    <col min="3192" max="3192" width="10.5703125" customWidth="1"/>
    <col min="3193" max="3193" width="24.42578125" customWidth="1"/>
    <col min="3194" max="3194" width="17.5703125" customWidth="1"/>
    <col min="3427" max="3427" width="33.42578125" bestFit="1" customWidth="1"/>
    <col min="3428" max="3445" width="12" customWidth="1"/>
    <col min="3447" max="3447" width="33.42578125" bestFit="1" customWidth="1"/>
    <col min="3448" max="3448" width="10.5703125" customWidth="1"/>
    <col min="3449" max="3449" width="24.42578125" customWidth="1"/>
    <col min="3450" max="3450" width="17.5703125" customWidth="1"/>
    <col min="3683" max="3683" width="33.42578125" bestFit="1" customWidth="1"/>
    <col min="3684" max="3701" width="12" customWidth="1"/>
    <col min="3703" max="3703" width="33.42578125" bestFit="1" customWidth="1"/>
    <col min="3704" max="3704" width="10.5703125" customWidth="1"/>
    <col min="3705" max="3705" width="24.42578125" customWidth="1"/>
    <col min="3706" max="3706" width="17.5703125" customWidth="1"/>
    <col min="3939" max="3939" width="33.42578125" bestFit="1" customWidth="1"/>
    <col min="3940" max="3957" width="12" customWidth="1"/>
    <col min="3959" max="3959" width="33.42578125" bestFit="1" customWidth="1"/>
    <col min="3960" max="3960" width="10.5703125" customWidth="1"/>
    <col min="3961" max="3961" width="24.42578125" customWidth="1"/>
    <col min="3962" max="3962" width="17.5703125" customWidth="1"/>
    <col min="4195" max="4195" width="33.42578125" bestFit="1" customWidth="1"/>
    <col min="4196" max="4213" width="12" customWidth="1"/>
    <col min="4215" max="4215" width="33.42578125" bestFit="1" customWidth="1"/>
    <col min="4216" max="4216" width="10.5703125" customWidth="1"/>
    <col min="4217" max="4217" width="24.42578125" customWidth="1"/>
    <col min="4218" max="4218" width="17.5703125" customWidth="1"/>
    <col min="4451" max="4451" width="33.42578125" bestFit="1" customWidth="1"/>
    <col min="4452" max="4469" width="12" customWidth="1"/>
    <col min="4471" max="4471" width="33.42578125" bestFit="1" customWidth="1"/>
    <col min="4472" max="4472" width="10.5703125" customWidth="1"/>
    <col min="4473" max="4473" width="24.42578125" customWidth="1"/>
    <col min="4474" max="4474" width="17.5703125" customWidth="1"/>
    <col min="4707" max="4707" width="33.42578125" bestFit="1" customWidth="1"/>
    <col min="4708" max="4725" width="12" customWidth="1"/>
    <col min="4727" max="4727" width="33.42578125" bestFit="1" customWidth="1"/>
    <col min="4728" max="4728" width="10.5703125" customWidth="1"/>
    <col min="4729" max="4729" width="24.42578125" customWidth="1"/>
    <col min="4730" max="4730" width="17.5703125" customWidth="1"/>
    <col min="4963" max="4963" width="33.42578125" bestFit="1" customWidth="1"/>
    <col min="4964" max="4981" width="12" customWidth="1"/>
    <col min="4983" max="4983" width="33.42578125" bestFit="1" customWidth="1"/>
    <col min="4984" max="4984" width="10.5703125" customWidth="1"/>
    <col min="4985" max="4985" width="24.42578125" customWidth="1"/>
    <col min="4986" max="4986" width="17.5703125" customWidth="1"/>
    <col min="5219" max="5219" width="33.42578125" bestFit="1" customWidth="1"/>
    <col min="5220" max="5237" width="12" customWidth="1"/>
    <col min="5239" max="5239" width="33.42578125" bestFit="1" customWidth="1"/>
    <col min="5240" max="5240" width="10.5703125" customWidth="1"/>
    <col min="5241" max="5241" width="24.42578125" customWidth="1"/>
    <col min="5242" max="5242" width="17.5703125" customWidth="1"/>
    <col min="5475" max="5475" width="33.42578125" bestFit="1" customWidth="1"/>
    <col min="5476" max="5493" width="12" customWidth="1"/>
    <col min="5495" max="5495" width="33.42578125" bestFit="1" customWidth="1"/>
    <col min="5496" max="5496" width="10.5703125" customWidth="1"/>
    <col min="5497" max="5497" width="24.42578125" customWidth="1"/>
    <col min="5498" max="5498" width="17.5703125" customWidth="1"/>
    <col min="5731" max="5731" width="33.42578125" bestFit="1" customWidth="1"/>
    <col min="5732" max="5749" width="12" customWidth="1"/>
    <col min="5751" max="5751" width="33.42578125" bestFit="1" customWidth="1"/>
    <col min="5752" max="5752" width="10.5703125" customWidth="1"/>
    <col min="5753" max="5753" width="24.42578125" customWidth="1"/>
    <col min="5754" max="5754" width="17.5703125" customWidth="1"/>
    <col min="5987" max="5987" width="33.42578125" bestFit="1" customWidth="1"/>
    <col min="5988" max="6005" width="12" customWidth="1"/>
    <col min="6007" max="6007" width="33.42578125" bestFit="1" customWidth="1"/>
    <col min="6008" max="6008" width="10.5703125" customWidth="1"/>
    <col min="6009" max="6009" width="24.42578125" customWidth="1"/>
    <col min="6010" max="6010" width="17.5703125" customWidth="1"/>
    <col min="6243" max="6243" width="33.42578125" bestFit="1" customWidth="1"/>
    <col min="6244" max="6261" width="12" customWidth="1"/>
    <col min="6263" max="6263" width="33.42578125" bestFit="1" customWidth="1"/>
    <col min="6264" max="6264" width="10.5703125" customWidth="1"/>
    <col min="6265" max="6265" width="24.42578125" customWidth="1"/>
    <col min="6266" max="6266" width="17.5703125" customWidth="1"/>
    <col min="6499" max="6499" width="33.42578125" bestFit="1" customWidth="1"/>
    <col min="6500" max="6517" width="12" customWidth="1"/>
    <col min="6519" max="6519" width="33.42578125" bestFit="1" customWidth="1"/>
    <col min="6520" max="6520" width="10.5703125" customWidth="1"/>
    <col min="6521" max="6521" width="24.42578125" customWidth="1"/>
    <col min="6522" max="6522" width="17.5703125" customWidth="1"/>
    <col min="6755" max="6755" width="33.42578125" bestFit="1" customWidth="1"/>
    <col min="6756" max="6773" width="12" customWidth="1"/>
    <col min="6775" max="6775" width="33.42578125" bestFit="1" customWidth="1"/>
    <col min="6776" max="6776" width="10.5703125" customWidth="1"/>
    <col min="6777" max="6777" width="24.42578125" customWidth="1"/>
    <col min="6778" max="6778" width="17.5703125" customWidth="1"/>
    <col min="7011" max="7011" width="33.42578125" bestFit="1" customWidth="1"/>
    <col min="7012" max="7029" width="12" customWidth="1"/>
    <col min="7031" max="7031" width="33.42578125" bestFit="1" customWidth="1"/>
    <col min="7032" max="7032" width="10.5703125" customWidth="1"/>
    <col min="7033" max="7033" width="24.42578125" customWidth="1"/>
    <col min="7034" max="7034" width="17.5703125" customWidth="1"/>
    <col min="7267" max="7267" width="33.42578125" bestFit="1" customWidth="1"/>
    <col min="7268" max="7285" width="12" customWidth="1"/>
    <col min="7287" max="7287" width="33.42578125" bestFit="1" customWidth="1"/>
    <col min="7288" max="7288" width="10.5703125" customWidth="1"/>
    <col min="7289" max="7289" width="24.42578125" customWidth="1"/>
    <col min="7290" max="7290" width="17.5703125" customWidth="1"/>
    <col min="7523" max="7523" width="33.42578125" bestFit="1" customWidth="1"/>
    <col min="7524" max="7541" width="12" customWidth="1"/>
    <col min="7543" max="7543" width="33.42578125" bestFit="1" customWidth="1"/>
    <col min="7544" max="7544" width="10.5703125" customWidth="1"/>
    <col min="7545" max="7545" width="24.42578125" customWidth="1"/>
    <col min="7546" max="7546" width="17.5703125" customWidth="1"/>
    <col min="7779" max="7779" width="33.42578125" bestFit="1" customWidth="1"/>
    <col min="7780" max="7797" width="12" customWidth="1"/>
    <col min="7799" max="7799" width="33.42578125" bestFit="1" customWidth="1"/>
    <col min="7800" max="7800" width="10.5703125" customWidth="1"/>
    <col min="7801" max="7801" width="24.42578125" customWidth="1"/>
    <col min="7802" max="7802" width="17.5703125" customWidth="1"/>
    <col min="8035" max="8035" width="33.42578125" bestFit="1" customWidth="1"/>
    <col min="8036" max="8053" width="12" customWidth="1"/>
    <col min="8055" max="8055" width="33.42578125" bestFit="1" customWidth="1"/>
    <col min="8056" max="8056" width="10.5703125" customWidth="1"/>
    <col min="8057" max="8057" width="24.42578125" customWidth="1"/>
    <col min="8058" max="8058" width="17.5703125" customWidth="1"/>
    <col min="8291" max="8291" width="33.42578125" bestFit="1" customWidth="1"/>
    <col min="8292" max="8309" width="12" customWidth="1"/>
    <col min="8311" max="8311" width="33.42578125" bestFit="1" customWidth="1"/>
    <col min="8312" max="8312" width="10.5703125" customWidth="1"/>
    <col min="8313" max="8313" width="24.42578125" customWidth="1"/>
    <col min="8314" max="8314" width="17.5703125" customWidth="1"/>
    <col min="8547" max="8547" width="33.42578125" bestFit="1" customWidth="1"/>
    <col min="8548" max="8565" width="12" customWidth="1"/>
    <col min="8567" max="8567" width="33.42578125" bestFit="1" customWidth="1"/>
    <col min="8568" max="8568" width="10.5703125" customWidth="1"/>
    <col min="8569" max="8569" width="24.42578125" customWidth="1"/>
    <col min="8570" max="8570" width="17.5703125" customWidth="1"/>
    <col min="8803" max="8803" width="33.42578125" bestFit="1" customWidth="1"/>
    <col min="8804" max="8821" width="12" customWidth="1"/>
    <col min="8823" max="8823" width="33.42578125" bestFit="1" customWidth="1"/>
    <col min="8824" max="8824" width="10.5703125" customWidth="1"/>
    <col min="8825" max="8825" width="24.42578125" customWidth="1"/>
    <col min="8826" max="8826" width="17.5703125" customWidth="1"/>
    <col min="9059" max="9059" width="33.42578125" bestFit="1" customWidth="1"/>
    <col min="9060" max="9077" width="12" customWidth="1"/>
    <col min="9079" max="9079" width="33.42578125" bestFit="1" customWidth="1"/>
    <col min="9080" max="9080" width="10.5703125" customWidth="1"/>
    <col min="9081" max="9081" width="24.42578125" customWidth="1"/>
    <col min="9082" max="9082" width="17.5703125" customWidth="1"/>
    <col min="9315" max="9315" width="33.42578125" bestFit="1" customWidth="1"/>
    <col min="9316" max="9333" width="12" customWidth="1"/>
    <col min="9335" max="9335" width="33.42578125" bestFit="1" customWidth="1"/>
    <col min="9336" max="9336" width="10.5703125" customWidth="1"/>
    <col min="9337" max="9337" width="24.42578125" customWidth="1"/>
    <col min="9338" max="9338" width="17.5703125" customWidth="1"/>
    <col min="9571" max="9571" width="33.42578125" bestFit="1" customWidth="1"/>
    <col min="9572" max="9589" width="12" customWidth="1"/>
    <col min="9591" max="9591" width="33.42578125" bestFit="1" customWidth="1"/>
    <col min="9592" max="9592" width="10.5703125" customWidth="1"/>
    <col min="9593" max="9593" width="24.42578125" customWidth="1"/>
    <col min="9594" max="9594" width="17.5703125" customWidth="1"/>
    <col min="9827" max="9827" width="33.42578125" bestFit="1" customWidth="1"/>
    <col min="9828" max="9845" width="12" customWidth="1"/>
    <col min="9847" max="9847" width="33.42578125" bestFit="1" customWidth="1"/>
    <col min="9848" max="9848" width="10.5703125" customWidth="1"/>
    <col min="9849" max="9849" width="24.42578125" customWidth="1"/>
    <col min="9850" max="9850" width="17.5703125" customWidth="1"/>
    <col min="10083" max="10083" width="33.42578125" bestFit="1" customWidth="1"/>
    <col min="10084" max="10101" width="12" customWidth="1"/>
    <col min="10103" max="10103" width="33.42578125" bestFit="1" customWidth="1"/>
    <col min="10104" max="10104" width="10.5703125" customWidth="1"/>
    <col min="10105" max="10105" width="24.42578125" customWidth="1"/>
    <col min="10106" max="10106" width="17.5703125" customWidth="1"/>
    <col min="10339" max="10339" width="33.42578125" bestFit="1" customWidth="1"/>
    <col min="10340" max="10357" width="12" customWidth="1"/>
    <col min="10359" max="10359" width="33.42578125" bestFit="1" customWidth="1"/>
    <col min="10360" max="10360" width="10.5703125" customWidth="1"/>
    <col min="10361" max="10361" width="24.42578125" customWidth="1"/>
    <col min="10362" max="10362" width="17.5703125" customWidth="1"/>
    <col min="10595" max="10595" width="33.42578125" bestFit="1" customWidth="1"/>
    <col min="10596" max="10613" width="12" customWidth="1"/>
    <col min="10615" max="10615" width="33.42578125" bestFit="1" customWidth="1"/>
    <col min="10616" max="10616" width="10.5703125" customWidth="1"/>
    <col min="10617" max="10617" width="24.42578125" customWidth="1"/>
    <col min="10618" max="10618" width="17.5703125" customWidth="1"/>
    <col min="10851" max="10851" width="33.42578125" bestFit="1" customWidth="1"/>
    <col min="10852" max="10869" width="12" customWidth="1"/>
    <col min="10871" max="10871" width="33.42578125" bestFit="1" customWidth="1"/>
    <col min="10872" max="10872" width="10.5703125" customWidth="1"/>
    <col min="10873" max="10873" width="24.42578125" customWidth="1"/>
    <col min="10874" max="10874" width="17.5703125" customWidth="1"/>
    <col min="11107" max="11107" width="33.42578125" bestFit="1" customWidth="1"/>
    <col min="11108" max="11125" width="12" customWidth="1"/>
    <col min="11127" max="11127" width="33.42578125" bestFit="1" customWidth="1"/>
    <col min="11128" max="11128" width="10.5703125" customWidth="1"/>
    <col min="11129" max="11129" width="24.42578125" customWidth="1"/>
    <col min="11130" max="11130" width="17.5703125" customWidth="1"/>
    <col min="11363" max="11363" width="33.42578125" bestFit="1" customWidth="1"/>
    <col min="11364" max="11381" width="12" customWidth="1"/>
    <col min="11383" max="11383" width="33.42578125" bestFit="1" customWidth="1"/>
    <col min="11384" max="11384" width="10.5703125" customWidth="1"/>
    <col min="11385" max="11385" width="24.42578125" customWidth="1"/>
    <col min="11386" max="11386" width="17.5703125" customWidth="1"/>
    <col min="11619" max="11619" width="33.42578125" bestFit="1" customWidth="1"/>
    <col min="11620" max="11637" width="12" customWidth="1"/>
    <col min="11639" max="11639" width="33.42578125" bestFit="1" customWidth="1"/>
    <col min="11640" max="11640" width="10.5703125" customWidth="1"/>
    <col min="11641" max="11641" width="24.42578125" customWidth="1"/>
    <col min="11642" max="11642" width="17.5703125" customWidth="1"/>
    <col min="11875" max="11875" width="33.42578125" bestFit="1" customWidth="1"/>
    <col min="11876" max="11893" width="12" customWidth="1"/>
    <col min="11895" max="11895" width="33.42578125" bestFit="1" customWidth="1"/>
    <col min="11896" max="11896" width="10.5703125" customWidth="1"/>
    <col min="11897" max="11897" width="24.42578125" customWidth="1"/>
    <col min="11898" max="11898" width="17.5703125" customWidth="1"/>
    <col min="12131" max="12131" width="33.42578125" bestFit="1" customWidth="1"/>
    <col min="12132" max="12149" width="12" customWidth="1"/>
    <col min="12151" max="12151" width="33.42578125" bestFit="1" customWidth="1"/>
    <col min="12152" max="12152" width="10.5703125" customWidth="1"/>
    <col min="12153" max="12153" width="24.42578125" customWidth="1"/>
    <col min="12154" max="12154" width="17.5703125" customWidth="1"/>
    <col min="12387" max="12387" width="33.42578125" bestFit="1" customWidth="1"/>
    <col min="12388" max="12405" width="12" customWidth="1"/>
    <col min="12407" max="12407" width="33.42578125" bestFit="1" customWidth="1"/>
    <col min="12408" max="12408" width="10.5703125" customWidth="1"/>
    <col min="12409" max="12409" width="24.42578125" customWidth="1"/>
    <col min="12410" max="12410" width="17.5703125" customWidth="1"/>
    <col min="12643" max="12643" width="33.42578125" bestFit="1" customWidth="1"/>
    <col min="12644" max="12661" width="12" customWidth="1"/>
    <col min="12663" max="12663" width="33.42578125" bestFit="1" customWidth="1"/>
    <col min="12664" max="12664" width="10.5703125" customWidth="1"/>
    <col min="12665" max="12665" width="24.42578125" customWidth="1"/>
    <col min="12666" max="12666" width="17.5703125" customWidth="1"/>
    <col min="12899" max="12899" width="33.42578125" bestFit="1" customWidth="1"/>
    <col min="12900" max="12917" width="12" customWidth="1"/>
    <col min="12919" max="12919" width="33.42578125" bestFit="1" customWidth="1"/>
    <col min="12920" max="12920" width="10.5703125" customWidth="1"/>
    <col min="12921" max="12921" width="24.42578125" customWidth="1"/>
    <col min="12922" max="12922" width="17.5703125" customWidth="1"/>
    <col min="13155" max="13155" width="33.42578125" bestFit="1" customWidth="1"/>
    <col min="13156" max="13173" width="12" customWidth="1"/>
    <col min="13175" max="13175" width="33.42578125" bestFit="1" customWidth="1"/>
    <col min="13176" max="13176" width="10.5703125" customWidth="1"/>
    <col min="13177" max="13177" width="24.42578125" customWidth="1"/>
    <col min="13178" max="13178" width="17.5703125" customWidth="1"/>
    <col min="13411" max="13411" width="33.42578125" bestFit="1" customWidth="1"/>
    <col min="13412" max="13429" width="12" customWidth="1"/>
    <col min="13431" max="13431" width="33.42578125" bestFit="1" customWidth="1"/>
    <col min="13432" max="13432" width="10.5703125" customWidth="1"/>
    <col min="13433" max="13433" width="24.42578125" customWidth="1"/>
    <col min="13434" max="13434" width="17.5703125" customWidth="1"/>
    <col min="13667" max="13667" width="33.42578125" bestFit="1" customWidth="1"/>
    <col min="13668" max="13685" width="12" customWidth="1"/>
    <col min="13687" max="13687" width="33.42578125" bestFit="1" customWidth="1"/>
    <col min="13688" max="13688" width="10.5703125" customWidth="1"/>
    <col min="13689" max="13689" width="24.42578125" customWidth="1"/>
    <col min="13690" max="13690" width="17.5703125" customWidth="1"/>
    <col min="13923" max="13923" width="33.42578125" bestFit="1" customWidth="1"/>
    <col min="13924" max="13941" width="12" customWidth="1"/>
    <col min="13943" max="13943" width="33.42578125" bestFit="1" customWidth="1"/>
    <col min="13944" max="13944" width="10.5703125" customWidth="1"/>
    <col min="13945" max="13945" width="24.42578125" customWidth="1"/>
    <col min="13946" max="13946" width="17.5703125" customWidth="1"/>
    <col min="14179" max="14179" width="33.42578125" bestFit="1" customWidth="1"/>
    <col min="14180" max="14197" width="12" customWidth="1"/>
    <col min="14199" max="14199" width="33.42578125" bestFit="1" customWidth="1"/>
    <col min="14200" max="14200" width="10.5703125" customWidth="1"/>
    <col min="14201" max="14201" width="24.42578125" customWidth="1"/>
    <col min="14202" max="14202" width="17.5703125" customWidth="1"/>
    <col min="14435" max="14435" width="33.42578125" bestFit="1" customWidth="1"/>
    <col min="14436" max="14453" width="12" customWidth="1"/>
    <col min="14455" max="14455" width="33.42578125" bestFit="1" customWidth="1"/>
    <col min="14456" max="14456" width="10.5703125" customWidth="1"/>
    <col min="14457" max="14457" width="24.42578125" customWidth="1"/>
    <col min="14458" max="14458" width="17.5703125" customWidth="1"/>
    <col min="14691" max="14691" width="33.42578125" bestFit="1" customWidth="1"/>
    <col min="14692" max="14709" width="12" customWidth="1"/>
    <col min="14711" max="14711" width="33.42578125" bestFit="1" customWidth="1"/>
    <col min="14712" max="14712" width="10.5703125" customWidth="1"/>
    <col min="14713" max="14713" width="24.42578125" customWidth="1"/>
    <col min="14714" max="14714" width="17.5703125" customWidth="1"/>
    <col min="14947" max="14947" width="33.42578125" bestFit="1" customWidth="1"/>
    <col min="14948" max="14965" width="12" customWidth="1"/>
    <col min="14967" max="14967" width="33.42578125" bestFit="1" customWidth="1"/>
    <col min="14968" max="14968" width="10.5703125" customWidth="1"/>
    <col min="14969" max="14969" width="24.42578125" customWidth="1"/>
    <col min="14970" max="14970" width="17.5703125" customWidth="1"/>
    <col min="15203" max="15203" width="33.42578125" bestFit="1" customWidth="1"/>
    <col min="15204" max="15221" width="12" customWidth="1"/>
    <col min="15223" max="15223" width="33.42578125" bestFit="1" customWidth="1"/>
    <col min="15224" max="15224" width="10.5703125" customWidth="1"/>
    <col min="15225" max="15225" width="24.42578125" customWidth="1"/>
    <col min="15226" max="15226" width="17.5703125" customWidth="1"/>
    <col min="15459" max="15459" width="33.42578125" bestFit="1" customWidth="1"/>
    <col min="15460" max="15477" width="12" customWidth="1"/>
    <col min="15479" max="15479" width="33.42578125" bestFit="1" customWidth="1"/>
    <col min="15480" max="15480" width="10.5703125" customWidth="1"/>
    <col min="15481" max="15481" width="24.42578125" customWidth="1"/>
    <col min="15482" max="15482" width="17.5703125" customWidth="1"/>
    <col min="15715" max="15715" width="33.42578125" bestFit="1" customWidth="1"/>
    <col min="15716" max="15733" width="12" customWidth="1"/>
    <col min="15735" max="15735" width="33.42578125" bestFit="1" customWidth="1"/>
    <col min="15736" max="15736" width="10.5703125" customWidth="1"/>
    <col min="15737" max="15737" width="24.42578125" customWidth="1"/>
    <col min="15738" max="15738" width="17.5703125" customWidth="1"/>
    <col min="15971" max="15971" width="33.42578125" bestFit="1" customWidth="1"/>
    <col min="15972" max="15989" width="12" customWidth="1"/>
    <col min="15991" max="15991" width="33.42578125" bestFit="1" customWidth="1"/>
    <col min="15992" max="15992" width="10.5703125" customWidth="1"/>
    <col min="15993" max="15993" width="24.42578125" customWidth="1"/>
    <col min="15994" max="15994" width="17.5703125" customWidth="1"/>
    <col min="16227" max="16227" width="33.42578125" bestFit="1" customWidth="1"/>
    <col min="16228" max="16245" width="12" customWidth="1"/>
    <col min="16247" max="16247" width="33.42578125" bestFit="1" customWidth="1"/>
    <col min="16248" max="16248" width="10.5703125" customWidth="1"/>
    <col min="16249" max="16249" width="24.42578125" customWidth="1"/>
    <col min="16250" max="16250" width="17.5703125" customWidth="1"/>
  </cols>
  <sheetData>
    <row r="1" spans="1:387" s="21" customFormat="1" ht="8.25" customHeight="1"/>
    <row r="2" spans="1:387" s="21" customFormat="1" ht="15.75">
      <c r="B2" s="22" t="s">
        <v>135</v>
      </c>
      <c r="C2" s="22"/>
      <c r="D2" s="22"/>
    </row>
    <row r="3" spans="1:387" s="10" customFormat="1" ht="15" customHeight="1"/>
    <row r="4" spans="1:387" ht="3.9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</row>
    <row r="5" spans="1:387" ht="37.5" customHeight="1">
      <c r="A5" s="6"/>
      <c r="B5" s="150" t="s">
        <v>136</v>
      </c>
      <c r="C5" s="122" t="s">
        <v>137</v>
      </c>
      <c r="D5" s="122" t="s">
        <v>138</v>
      </c>
      <c r="E5" s="121" t="s">
        <v>54</v>
      </c>
      <c r="F5" s="121"/>
      <c r="G5" s="121"/>
      <c r="H5" s="121"/>
      <c r="I5" s="121" t="s">
        <v>55</v>
      </c>
      <c r="J5" s="121"/>
      <c r="K5" s="121"/>
      <c r="L5" s="121"/>
      <c r="M5" s="121"/>
      <c r="N5" s="121" t="s">
        <v>56</v>
      </c>
      <c r="O5" s="121"/>
      <c r="P5" s="121"/>
      <c r="Q5" s="121"/>
      <c r="R5" s="121"/>
      <c r="S5" s="121" t="s">
        <v>57</v>
      </c>
      <c r="T5" s="121"/>
      <c r="U5" s="121"/>
      <c r="V5" s="121"/>
      <c r="W5" s="121"/>
      <c r="X5" s="121" t="s">
        <v>58</v>
      </c>
      <c r="Y5" s="121"/>
      <c r="Z5" s="121"/>
      <c r="AA5" s="121"/>
      <c r="AB5" s="121"/>
      <c r="AC5" s="121" t="s">
        <v>59</v>
      </c>
      <c r="AD5" s="121"/>
      <c r="AE5" s="121"/>
      <c r="AF5" s="121"/>
      <c r="AG5" s="121"/>
      <c r="AH5" s="121" t="s">
        <v>60</v>
      </c>
      <c r="AI5" s="121"/>
      <c r="AJ5" s="121"/>
      <c r="AK5" s="121"/>
      <c r="AL5" s="121"/>
      <c r="AM5" s="121" t="s">
        <v>61</v>
      </c>
      <c r="AN5" s="121"/>
      <c r="AO5" s="121"/>
      <c r="AP5" s="121"/>
      <c r="AQ5" s="121"/>
      <c r="AR5" s="121" t="s">
        <v>62</v>
      </c>
      <c r="AS5" s="121"/>
      <c r="AT5" s="121"/>
      <c r="AU5" s="121"/>
      <c r="AV5" s="121"/>
      <c r="AW5" s="121" t="s">
        <v>63</v>
      </c>
      <c r="AX5" s="121"/>
      <c r="AY5" s="121"/>
      <c r="AZ5" s="121"/>
      <c r="BA5" s="121"/>
      <c r="BB5" s="121" t="s">
        <v>64</v>
      </c>
      <c r="BC5" s="121"/>
      <c r="BD5" s="121"/>
      <c r="BE5" s="121"/>
      <c r="BF5" s="121"/>
      <c r="BG5" s="121" t="s">
        <v>65</v>
      </c>
      <c r="BH5" s="121"/>
      <c r="BI5" s="121"/>
      <c r="BJ5" s="121"/>
      <c r="BK5" s="121"/>
      <c r="BL5" s="121" t="s">
        <v>66</v>
      </c>
      <c r="BM5" s="121"/>
      <c r="BN5" s="121"/>
      <c r="BO5" s="121"/>
      <c r="BP5" s="121"/>
      <c r="BQ5" s="121" t="s">
        <v>67</v>
      </c>
      <c r="BR5" s="121"/>
      <c r="BS5" s="121"/>
      <c r="BT5" s="121"/>
      <c r="BU5" s="121"/>
      <c r="BV5" s="121" t="s">
        <v>68</v>
      </c>
      <c r="BW5" s="121"/>
      <c r="BX5" s="121"/>
      <c r="BY5" s="121"/>
      <c r="BZ5" s="121"/>
      <c r="CA5" s="121" t="s">
        <v>69</v>
      </c>
      <c r="CB5" s="121"/>
      <c r="CC5" s="121"/>
      <c r="CD5" s="121"/>
      <c r="CE5" s="121"/>
      <c r="CF5" s="121" t="s">
        <v>70</v>
      </c>
      <c r="CG5" s="121"/>
      <c r="CH5" s="121"/>
      <c r="CI5" s="121"/>
      <c r="CJ5" s="121"/>
      <c r="CK5" s="121" t="s">
        <v>71</v>
      </c>
      <c r="CL5" s="121"/>
      <c r="CM5" s="121"/>
      <c r="CN5" s="121"/>
      <c r="CO5" s="121"/>
      <c r="CP5" s="121" t="s">
        <v>72</v>
      </c>
      <c r="CQ5" s="121"/>
      <c r="CR5" s="121"/>
      <c r="CS5" s="121"/>
      <c r="CT5" s="121"/>
      <c r="CU5" s="121" t="s">
        <v>73</v>
      </c>
      <c r="CV5" s="121"/>
      <c r="CW5" s="121"/>
      <c r="CX5" s="121"/>
      <c r="CY5" s="121"/>
      <c r="CZ5" s="121" t="s">
        <v>74</v>
      </c>
      <c r="DA5" s="121"/>
      <c r="DB5" s="121"/>
      <c r="DC5" s="121"/>
      <c r="DD5" s="121"/>
      <c r="DE5" s="121" t="s">
        <v>75</v>
      </c>
      <c r="DF5" s="121"/>
      <c r="DG5" s="121"/>
      <c r="DH5" s="121"/>
      <c r="DI5" s="121"/>
      <c r="DJ5" s="121" t="s">
        <v>76</v>
      </c>
      <c r="DK5" s="121"/>
      <c r="DL5" s="121"/>
      <c r="DM5" s="121"/>
      <c r="DN5" s="121"/>
      <c r="DO5" s="121" t="s">
        <v>77</v>
      </c>
      <c r="DP5" s="121"/>
      <c r="DQ5" s="121"/>
      <c r="DR5" s="121"/>
      <c r="DS5" s="121"/>
      <c r="DT5" s="121" t="s">
        <v>78</v>
      </c>
      <c r="DU5" s="121"/>
      <c r="DV5" s="121"/>
      <c r="DW5" s="121"/>
      <c r="DX5" s="121"/>
      <c r="DY5" s="121" t="s">
        <v>79</v>
      </c>
      <c r="DZ5" s="121"/>
      <c r="EA5" s="121"/>
      <c r="EB5" s="121"/>
      <c r="EC5" s="121"/>
      <c r="ED5" s="121" t="s">
        <v>80</v>
      </c>
      <c r="EE5" s="121"/>
      <c r="EF5" s="121"/>
      <c r="EG5" s="121"/>
      <c r="EH5" s="121"/>
      <c r="EI5" s="121" t="s">
        <v>81</v>
      </c>
      <c r="EJ5" s="121"/>
      <c r="EK5" s="121"/>
      <c r="EL5" s="121"/>
      <c r="EM5" s="121"/>
      <c r="EN5" s="121" t="s">
        <v>82</v>
      </c>
      <c r="EO5" s="121"/>
      <c r="EP5" s="121"/>
      <c r="EQ5" s="121"/>
      <c r="ER5" s="121"/>
      <c r="ES5" s="121" t="s">
        <v>83</v>
      </c>
      <c r="ET5" s="121"/>
      <c r="EU5" s="121"/>
      <c r="EV5" s="121"/>
      <c r="EW5" s="121"/>
      <c r="EX5" s="121" t="s">
        <v>84</v>
      </c>
      <c r="EY5" s="121"/>
      <c r="EZ5" s="121"/>
      <c r="FA5" s="121"/>
      <c r="FB5" s="121"/>
      <c r="FC5" s="121" t="s">
        <v>85</v>
      </c>
      <c r="FD5" s="121"/>
      <c r="FE5" s="121"/>
      <c r="FF5" s="121"/>
      <c r="FG5" s="121"/>
      <c r="FH5" s="121" t="s">
        <v>86</v>
      </c>
      <c r="FI5" s="121"/>
      <c r="FJ5" s="121"/>
      <c r="FK5" s="121"/>
      <c r="FL5" s="121"/>
      <c r="FM5" s="121" t="s">
        <v>87</v>
      </c>
      <c r="FN5" s="121"/>
      <c r="FO5" s="121"/>
      <c r="FP5" s="121"/>
      <c r="FQ5" s="121"/>
      <c r="FR5" s="121" t="s">
        <v>88</v>
      </c>
      <c r="FS5" s="121"/>
      <c r="FT5" s="121"/>
      <c r="FU5" s="121"/>
      <c r="FV5" s="121"/>
      <c r="FW5" s="121" t="s">
        <v>89</v>
      </c>
      <c r="FX5" s="121"/>
      <c r="FY5" s="121"/>
      <c r="FZ5" s="121"/>
      <c r="GA5" s="121"/>
      <c r="GB5" s="121" t="s">
        <v>90</v>
      </c>
      <c r="GC5" s="121"/>
      <c r="GD5" s="121"/>
      <c r="GE5" s="121"/>
      <c r="GF5" s="121"/>
      <c r="GG5" s="121" t="s">
        <v>91</v>
      </c>
      <c r="GH5" s="121"/>
      <c r="GI5" s="121"/>
      <c r="GJ5" s="121"/>
      <c r="GK5" s="121"/>
      <c r="GL5" s="121" t="s">
        <v>92</v>
      </c>
      <c r="GM5" s="121"/>
      <c r="GN5" s="121"/>
      <c r="GO5" s="121"/>
      <c r="GP5" s="121"/>
      <c r="GQ5" s="121" t="s">
        <v>93</v>
      </c>
      <c r="GR5" s="121"/>
      <c r="GS5" s="121"/>
      <c r="GT5" s="121"/>
      <c r="GU5" s="121"/>
      <c r="GV5" s="121" t="s">
        <v>94</v>
      </c>
      <c r="GW5" s="121"/>
      <c r="GX5" s="121"/>
      <c r="GY5" s="121"/>
      <c r="GZ5" s="121"/>
      <c r="HA5" s="121" t="s">
        <v>95</v>
      </c>
      <c r="HB5" s="121"/>
      <c r="HC5" s="121"/>
      <c r="HD5" s="121"/>
      <c r="HE5" s="121"/>
      <c r="HF5" s="121" t="s">
        <v>96</v>
      </c>
      <c r="HG5" s="121"/>
      <c r="HH5" s="121"/>
      <c r="HI5" s="121"/>
      <c r="HJ5" s="121"/>
      <c r="HK5" s="121" t="s">
        <v>97</v>
      </c>
      <c r="HL5" s="121"/>
      <c r="HM5" s="121"/>
      <c r="HN5" s="121"/>
      <c r="HO5" s="121"/>
      <c r="HP5" s="121" t="s">
        <v>98</v>
      </c>
      <c r="HQ5" s="121"/>
      <c r="HR5" s="121"/>
      <c r="HS5" s="121"/>
      <c r="HT5" s="121"/>
      <c r="HU5" s="121" t="s">
        <v>99</v>
      </c>
      <c r="HV5" s="121"/>
      <c r="HW5" s="121"/>
      <c r="HX5" s="121"/>
      <c r="HY5" s="121"/>
      <c r="HZ5" s="121" t="s">
        <v>100</v>
      </c>
      <c r="IA5" s="121"/>
      <c r="IB5" s="121"/>
      <c r="IC5" s="121"/>
      <c r="ID5" s="121"/>
      <c r="IE5" s="121" t="s">
        <v>101</v>
      </c>
      <c r="IF5" s="121"/>
      <c r="IG5" s="121"/>
      <c r="IH5" s="121"/>
      <c r="II5" s="121"/>
      <c r="IJ5" s="121" t="s">
        <v>102</v>
      </c>
      <c r="IK5" s="121"/>
      <c r="IL5" s="121"/>
      <c r="IM5" s="121"/>
      <c r="IN5" s="121"/>
      <c r="IO5" s="121" t="s">
        <v>103</v>
      </c>
      <c r="IP5" s="121"/>
      <c r="IQ5" s="121"/>
      <c r="IR5" s="121"/>
      <c r="IS5" s="121"/>
      <c r="IT5" s="121" t="s">
        <v>104</v>
      </c>
      <c r="IU5" s="121"/>
      <c r="IV5" s="121"/>
      <c r="IW5" s="121"/>
      <c r="IX5" s="121"/>
      <c r="IY5" s="121" t="s">
        <v>105</v>
      </c>
      <c r="IZ5" s="121"/>
      <c r="JA5" s="121"/>
      <c r="JB5" s="121"/>
      <c r="JC5" s="121"/>
      <c r="JD5" s="121" t="s">
        <v>106</v>
      </c>
      <c r="JE5" s="121"/>
      <c r="JF5" s="121"/>
      <c r="JG5" s="121"/>
      <c r="JH5" s="121"/>
      <c r="JI5" s="121" t="s">
        <v>107</v>
      </c>
      <c r="JJ5" s="121"/>
      <c r="JK5" s="121"/>
      <c r="JL5" s="121"/>
      <c r="JM5" s="121"/>
      <c r="JN5" s="121" t="s">
        <v>108</v>
      </c>
      <c r="JO5" s="121"/>
      <c r="JP5" s="121"/>
      <c r="JQ5" s="121"/>
      <c r="JR5" s="121"/>
      <c r="JS5" s="121" t="s">
        <v>109</v>
      </c>
      <c r="JT5" s="121"/>
      <c r="JU5" s="121"/>
      <c r="JV5" s="121"/>
      <c r="JW5" s="121"/>
      <c r="JX5" s="121" t="s">
        <v>110</v>
      </c>
      <c r="JY5" s="121"/>
      <c r="JZ5" s="121"/>
      <c r="KA5" s="121"/>
      <c r="KB5" s="121"/>
      <c r="KC5" s="121" t="s">
        <v>111</v>
      </c>
      <c r="KD5" s="121"/>
      <c r="KE5" s="121"/>
      <c r="KF5" s="121"/>
      <c r="KG5" s="121"/>
      <c r="KH5" s="121" t="s">
        <v>112</v>
      </c>
      <c r="KI5" s="121"/>
      <c r="KJ5" s="121"/>
      <c r="KK5" s="121"/>
      <c r="KL5" s="121"/>
      <c r="KM5" s="121" t="s">
        <v>113</v>
      </c>
      <c r="KN5" s="121"/>
      <c r="KO5" s="121"/>
      <c r="KP5" s="121"/>
      <c r="KQ5" s="121"/>
      <c r="KR5" s="121" t="s">
        <v>114</v>
      </c>
      <c r="KS5" s="121"/>
      <c r="KT5" s="121"/>
      <c r="KU5" s="121"/>
      <c r="KV5" s="121"/>
      <c r="KW5" s="121" t="s">
        <v>115</v>
      </c>
      <c r="KX5" s="121"/>
      <c r="KY5" s="121"/>
      <c r="KZ5" s="121"/>
      <c r="LA5" s="121"/>
      <c r="LB5" s="121" t="s">
        <v>116</v>
      </c>
      <c r="LC5" s="121"/>
      <c r="LD5" s="121"/>
      <c r="LE5" s="121"/>
      <c r="LF5" s="121"/>
      <c r="LG5" s="121" t="s">
        <v>117</v>
      </c>
      <c r="LH5" s="121"/>
      <c r="LI5" s="121"/>
      <c r="LJ5" s="121"/>
      <c r="LK5" s="121"/>
      <c r="LL5" s="121" t="s">
        <v>118</v>
      </c>
      <c r="LM5" s="121"/>
      <c r="LN5" s="121"/>
      <c r="LO5" s="121"/>
      <c r="LP5" s="121"/>
      <c r="LQ5" s="121" t="s">
        <v>119</v>
      </c>
      <c r="LR5" s="121"/>
      <c r="LS5" s="121"/>
      <c r="LT5" s="121"/>
      <c r="LU5" s="121"/>
      <c r="LV5" s="121" t="s">
        <v>120</v>
      </c>
      <c r="LW5" s="121"/>
      <c r="LX5" s="121"/>
      <c r="LY5" s="121"/>
      <c r="LZ5" s="121"/>
      <c r="MA5" s="121" t="s">
        <v>121</v>
      </c>
      <c r="MB5" s="121"/>
      <c r="MC5" s="121"/>
      <c r="MD5" s="121"/>
      <c r="ME5" s="121"/>
      <c r="MF5" s="121" t="s">
        <v>122</v>
      </c>
      <c r="MG5" s="121"/>
      <c r="MH5" s="121"/>
      <c r="MI5" s="121"/>
      <c r="MJ5" s="121"/>
      <c r="MK5" s="121" t="s">
        <v>123</v>
      </c>
      <c r="ML5" s="121"/>
      <c r="MM5" s="121"/>
      <c r="MN5" s="121"/>
      <c r="MO5" s="121"/>
      <c r="MP5" s="121" t="s">
        <v>124</v>
      </c>
      <c r="MQ5" s="121"/>
      <c r="MR5" s="121"/>
      <c r="MS5" s="121"/>
      <c r="MT5" s="121"/>
      <c r="MU5" s="121" t="s">
        <v>125</v>
      </c>
      <c r="MV5" s="121"/>
      <c r="MW5" s="121"/>
      <c r="MX5" s="121"/>
      <c r="MY5" s="121"/>
      <c r="MZ5" s="121" t="s">
        <v>126</v>
      </c>
      <c r="NA5" s="121"/>
      <c r="NB5" s="121"/>
      <c r="NC5" s="121"/>
      <c r="ND5" s="121"/>
      <c r="NE5" s="121" t="s">
        <v>127</v>
      </c>
      <c r="NF5" s="121"/>
      <c r="NG5" s="121"/>
      <c r="NH5" s="121"/>
      <c r="NI5" s="121"/>
      <c r="NJ5" s="121" t="s">
        <v>148</v>
      </c>
      <c r="NK5" s="121"/>
      <c r="NL5" s="121"/>
      <c r="NM5" s="121"/>
      <c r="NN5" s="121"/>
      <c r="NO5" s="129" t="s">
        <v>130</v>
      </c>
      <c r="NP5" s="130"/>
      <c r="NQ5" s="130"/>
      <c r="NR5" s="131"/>
      <c r="NS5" s="123" t="s">
        <v>150</v>
      </c>
      <c r="NT5" s="124"/>
      <c r="NU5" s="124"/>
      <c r="NV5" s="125"/>
      <c r="NW5" s="6"/>
    </row>
    <row r="6" spans="1:387" ht="35.25" customHeight="1">
      <c r="A6" s="6"/>
      <c r="B6" s="150"/>
      <c r="C6" s="122"/>
      <c r="D6" s="151"/>
      <c r="E6" s="49" t="s">
        <v>53</v>
      </c>
      <c r="F6" s="49" t="s">
        <v>2</v>
      </c>
      <c r="G6" s="49" t="s">
        <v>3</v>
      </c>
      <c r="H6" s="49" t="s">
        <v>4</v>
      </c>
      <c r="I6" s="49" t="s">
        <v>53</v>
      </c>
      <c r="J6" s="49" t="s">
        <v>2</v>
      </c>
      <c r="K6" s="49" t="s">
        <v>3</v>
      </c>
      <c r="L6" s="49" t="s">
        <v>4</v>
      </c>
      <c r="M6" s="49" t="s">
        <v>5</v>
      </c>
      <c r="N6" s="49" t="s">
        <v>53</v>
      </c>
      <c r="O6" s="49" t="s">
        <v>2</v>
      </c>
      <c r="P6" s="49" t="s">
        <v>3</v>
      </c>
      <c r="Q6" s="49" t="s">
        <v>4</v>
      </c>
      <c r="R6" s="49" t="s">
        <v>5</v>
      </c>
      <c r="S6" s="49" t="s">
        <v>53</v>
      </c>
      <c r="T6" s="49" t="s">
        <v>2</v>
      </c>
      <c r="U6" s="49" t="s">
        <v>3</v>
      </c>
      <c r="V6" s="49" t="s">
        <v>4</v>
      </c>
      <c r="W6" s="49" t="s">
        <v>5</v>
      </c>
      <c r="X6" s="49" t="s">
        <v>53</v>
      </c>
      <c r="Y6" s="49" t="s">
        <v>2</v>
      </c>
      <c r="Z6" s="49" t="s">
        <v>3</v>
      </c>
      <c r="AA6" s="49" t="s">
        <v>4</v>
      </c>
      <c r="AB6" s="49" t="s">
        <v>5</v>
      </c>
      <c r="AC6" s="49" t="s">
        <v>53</v>
      </c>
      <c r="AD6" s="49" t="s">
        <v>2</v>
      </c>
      <c r="AE6" s="49" t="s">
        <v>3</v>
      </c>
      <c r="AF6" s="49" t="s">
        <v>4</v>
      </c>
      <c r="AG6" s="49" t="s">
        <v>5</v>
      </c>
      <c r="AH6" s="49" t="s">
        <v>53</v>
      </c>
      <c r="AI6" s="49" t="s">
        <v>2</v>
      </c>
      <c r="AJ6" s="49" t="s">
        <v>3</v>
      </c>
      <c r="AK6" s="49" t="s">
        <v>4</v>
      </c>
      <c r="AL6" s="49" t="s">
        <v>5</v>
      </c>
      <c r="AM6" s="49" t="s">
        <v>53</v>
      </c>
      <c r="AN6" s="49" t="s">
        <v>2</v>
      </c>
      <c r="AO6" s="49" t="s">
        <v>3</v>
      </c>
      <c r="AP6" s="49" t="s">
        <v>4</v>
      </c>
      <c r="AQ6" s="49" t="s">
        <v>5</v>
      </c>
      <c r="AR6" s="49" t="s">
        <v>53</v>
      </c>
      <c r="AS6" s="49" t="s">
        <v>2</v>
      </c>
      <c r="AT6" s="49" t="s">
        <v>3</v>
      </c>
      <c r="AU6" s="49" t="s">
        <v>4</v>
      </c>
      <c r="AV6" s="49" t="s">
        <v>5</v>
      </c>
      <c r="AW6" s="49" t="s">
        <v>53</v>
      </c>
      <c r="AX6" s="49" t="s">
        <v>2</v>
      </c>
      <c r="AY6" s="49" t="s">
        <v>3</v>
      </c>
      <c r="AZ6" s="49" t="s">
        <v>4</v>
      </c>
      <c r="BA6" s="49" t="s">
        <v>5</v>
      </c>
      <c r="BB6" s="49" t="s">
        <v>53</v>
      </c>
      <c r="BC6" s="49" t="s">
        <v>2</v>
      </c>
      <c r="BD6" s="49" t="s">
        <v>3</v>
      </c>
      <c r="BE6" s="49" t="s">
        <v>4</v>
      </c>
      <c r="BF6" s="49" t="s">
        <v>5</v>
      </c>
      <c r="BG6" s="49" t="s">
        <v>53</v>
      </c>
      <c r="BH6" s="49" t="s">
        <v>2</v>
      </c>
      <c r="BI6" s="49" t="s">
        <v>3</v>
      </c>
      <c r="BJ6" s="49" t="s">
        <v>4</v>
      </c>
      <c r="BK6" s="49" t="s">
        <v>5</v>
      </c>
      <c r="BL6" s="49" t="s">
        <v>53</v>
      </c>
      <c r="BM6" s="49" t="s">
        <v>2</v>
      </c>
      <c r="BN6" s="49" t="s">
        <v>3</v>
      </c>
      <c r="BO6" s="49" t="s">
        <v>4</v>
      </c>
      <c r="BP6" s="49" t="s">
        <v>5</v>
      </c>
      <c r="BQ6" s="49" t="s">
        <v>53</v>
      </c>
      <c r="BR6" s="49" t="s">
        <v>2</v>
      </c>
      <c r="BS6" s="49" t="s">
        <v>3</v>
      </c>
      <c r="BT6" s="49" t="s">
        <v>4</v>
      </c>
      <c r="BU6" s="49" t="s">
        <v>5</v>
      </c>
      <c r="BV6" s="49" t="s">
        <v>53</v>
      </c>
      <c r="BW6" s="49" t="s">
        <v>2</v>
      </c>
      <c r="BX6" s="49" t="s">
        <v>3</v>
      </c>
      <c r="BY6" s="49" t="s">
        <v>4</v>
      </c>
      <c r="BZ6" s="49" t="s">
        <v>5</v>
      </c>
      <c r="CA6" s="49" t="s">
        <v>53</v>
      </c>
      <c r="CB6" s="49" t="s">
        <v>2</v>
      </c>
      <c r="CC6" s="49" t="s">
        <v>3</v>
      </c>
      <c r="CD6" s="49" t="s">
        <v>4</v>
      </c>
      <c r="CE6" s="49" t="s">
        <v>5</v>
      </c>
      <c r="CF6" s="49" t="s">
        <v>53</v>
      </c>
      <c r="CG6" s="49" t="s">
        <v>2</v>
      </c>
      <c r="CH6" s="49" t="s">
        <v>3</v>
      </c>
      <c r="CI6" s="49" t="s">
        <v>4</v>
      </c>
      <c r="CJ6" s="49" t="s">
        <v>5</v>
      </c>
      <c r="CK6" s="49" t="s">
        <v>53</v>
      </c>
      <c r="CL6" s="49" t="s">
        <v>2</v>
      </c>
      <c r="CM6" s="49" t="s">
        <v>3</v>
      </c>
      <c r="CN6" s="49" t="s">
        <v>4</v>
      </c>
      <c r="CO6" s="49" t="s">
        <v>5</v>
      </c>
      <c r="CP6" s="49" t="s">
        <v>53</v>
      </c>
      <c r="CQ6" s="49" t="s">
        <v>2</v>
      </c>
      <c r="CR6" s="49" t="s">
        <v>3</v>
      </c>
      <c r="CS6" s="49" t="s">
        <v>4</v>
      </c>
      <c r="CT6" s="49" t="s">
        <v>5</v>
      </c>
      <c r="CU6" s="49" t="s">
        <v>53</v>
      </c>
      <c r="CV6" s="49" t="s">
        <v>2</v>
      </c>
      <c r="CW6" s="49" t="s">
        <v>3</v>
      </c>
      <c r="CX6" s="49" t="s">
        <v>4</v>
      </c>
      <c r="CY6" s="49" t="s">
        <v>5</v>
      </c>
      <c r="CZ6" s="49" t="s">
        <v>53</v>
      </c>
      <c r="DA6" s="49" t="s">
        <v>2</v>
      </c>
      <c r="DB6" s="49" t="s">
        <v>3</v>
      </c>
      <c r="DC6" s="49" t="s">
        <v>4</v>
      </c>
      <c r="DD6" s="49" t="s">
        <v>5</v>
      </c>
      <c r="DE6" s="49" t="s">
        <v>53</v>
      </c>
      <c r="DF6" s="49" t="s">
        <v>2</v>
      </c>
      <c r="DG6" s="49" t="s">
        <v>3</v>
      </c>
      <c r="DH6" s="49" t="s">
        <v>4</v>
      </c>
      <c r="DI6" s="49" t="s">
        <v>5</v>
      </c>
      <c r="DJ6" s="49" t="s">
        <v>53</v>
      </c>
      <c r="DK6" s="49" t="s">
        <v>2</v>
      </c>
      <c r="DL6" s="49" t="s">
        <v>3</v>
      </c>
      <c r="DM6" s="49" t="s">
        <v>4</v>
      </c>
      <c r="DN6" s="49" t="s">
        <v>5</v>
      </c>
      <c r="DO6" s="49" t="s">
        <v>53</v>
      </c>
      <c r="DP6" s="49" t="s">
        <v>2</v>
      </c>
      <c r="DQ6" s="49" t="s">
        <v>3</v>
      </c>
      <c r="DR6" s="49" t="s">
        <v>4</v>
      </c>
      <c r="DS6" s="49" t="s">
        <v>5</v>
      </c>
      <c r="DT6" s="49" t="s">
        <v>53</v>
      </c>
      <c r="DU6" s="49" t="s">
        <v>2</v>
      </c>
      <c r="DV6" s="49" t="s">
        <v>3</v>
      </c>
      <c r="DW6" s="49" t="s">
        <v>4</v>
      </c>
      <c r="DX6" s="49" t="s">
        <v>5</v>
      </c>
      <c r="DY6" s="49" t="s">
        <v>53</v>
      </c>
      <c r="DZ6" s="49" t="s">
        <v>2</v>
      </c>
      <c r="EA6" s="49" t="s">
        <v>3</v>
      </c>
      <c r="EB6" s="49" t="s">
        <v>4</v>
      </c>
      <c r="EC6" s="49" t="s">
        <v>5</v>
      </c>
      <c r="ED6" s="49" t="s">
        <v>53</v>
      </c>
      <c r="EE6" s="49" t="s">
        <v>2</v>
      </c>
      <c r="EF6" s="49" t="s">
        <v>3</v>
      </c>
      <c r="EG6" s="49" t="s">
        <v>4</v>
      </c>
      <c r="EH6" s="49" t="s">
        <v>5</v>
      </c>
      <c r="EI6" s="49" t="s">
        <v>53</v>
      </c>
      <c r="EJ6" s="49" t="s">
        <v>2</v>
      </c>
      <c r="EK6" s="49" t="s">
        <v>3</v>
      </c>
      <c r="EL6" s="49" t="s">
        <v>4</v>
      </c>
      <c r="EM6" s="49" t="s">
        <v>5</v>
      </c>
      <c r="EN6" s="49" t="s">
        <v>53</v>
      </c>
      <c r="EO6" s="49" t="s">
        <v>2</v>
      </c>
      <c r="EP6" s="49" t="s">
        <v>3</v>
      </c>
      <c r="EQ6" s="49" t="s">
        <v>4</v>
      </c>
      <c r="ER6" s="49" t="s">
        <v>5</v>
      </c>
      <c r="ES6" s="49" t="s">
        <v>53</v>
      </c>
      <c r="ET6" s="49" t="s">
        <v>2</v>
      </c>
      <c r="EU6" s="49" t="s">
        <v>3</v>
      </c>
      <c r="EV6" s="49" t="s">
        <v>4</v>
      </c>
      <c r="EW6" s="49" t="s">
        <v>5</v>
      </c>
      <c r="EX6" s="49" t="s">
        <v>53</v>
      </c>
      <c r="EY6" s="49" t="s">
        <v>2</v>
      </c>
      <c r="EZ6" s="49" t="s">
        <v>3</v>
      </c>
      <c r="FA6" s="49" t="s">
        <v>4</v>
      </c>
      <c r="FB6" s="49" t="s">
        <v>5</v>
      </c>
      <c r="FC6" s="49" t="s">
        <v>53</v>
      </c>
      <c r="FD6" s="49" t="s">
        <v>2</v>
      </c>
      <c r="FE6" s="49" t="s">
        <v>3</v>
      </c>
      <c r="FF6" s="49" t="s">
        <v>4</v>
      </c>
      <c r="FG6" s="49" t="s">
        <v>5</v>
      </c>
      <c r="FH6" s="49" t="s">
        <v>53</v>
      </c>
      <c r="FI6" s="49" t="s">
        <v>2</v>
      </c>
      <c r="FJ6" s="49" t="s">
        <v>3</v>
      </c>
      <c r="FK6" s="49" t="s">
        <v>4</v>
      </c>
      <c r="FL6" s="49" t="s">
        <v>5</v>
      </c>
      <c r="FM6" s="49" t="s">
        <v>53</v>
      </c>
      <c r="FN6" s="49" t="s">
        <v>2</v>
      </c>
      <c r="FO6" s="49" t="s">
        <v>3</v>
      </c>
      <c r="FP6" s="49" t="s">
        <v>4</v>
      </c>
      <c r="FQ6" s="49" t="s">
        <v>5</v>
      </c>
      <c r="FR6" s="49" t="s">
        <v>53</v>
      </c>
      <c r="FS6" s="49" t="s">
        <v>2</v>
      </c>
      <c r="FT6" s="49" t="s">
        <v>3</v>
      </c>
      <c r="FU6" s="49" t="s">
        <v>4</v>
      </c>
      <c r="FV6" s="49" t="s">
        <v>5</v>
      </c>
      <c r="FW6" s="49" t="s">
        <v>53</v>
      </c>
      <c r="FX6" s="49" t="s">
        <v>2</v>
      </c>
      <c r="FY6" s="49" t="s">
        <v>3</v>
      </c>
      <c r="FZ6" s="49" t="s">
        <v>4</v>
      </c>
      <c r="GA6" s="49" t="s">
        <v>5</v>
      </c>
      <c r="GB6" s="49" t="s">
        <v>53</v>
      </c>
      <c r="GC6" s="49" t="s">
        <v>2</v>
      </c>
      <c r="GD6" s="49" t="s">
        <v>3</v>
      </c>
      <c r="GE6" s="49" t="s">
        <v>4</v>
      </c>
      <c r="GF6" s="49" t="s">
        <v>5</v>
      </c>
      <c r="GG6" s="49" t="s">
        <v>53</v>
      </c>
      <c r="GH6" s="49" t="s">
        <v>2</v>
      </c>
      <c r="GI6" s="49" t="s">
        <v>3</v>
      </c>
      <c r="GJ6" s="49" t="s">
        <v>4</v>
      </c>
      <c r="GK6" s="49" t="s">
        <v>5</v>
      </c>
      <c r="GL6" s="49" t="s">
        <v>53</v>
      </c>
      <c r="GM6" s="49" t="s">
        <v>2</v>
      </c>
      <c r="GN6" s="49" t="s">
        <v>3</v>
      </c>
      <c r="GO6" s="49" t="s">
        <v>4</v>
      </c>
      <c r="GP6" s="49" t="s">
        <v>5</v>
      </c>
      <c r="GQ6" s="49" t="s">
        <v>53</v>
      </c>
      <c r="GR6" s="49" t="s">
        <v>2</v>
      </c>
      <c r="GS6" s="49" t="s">
        <v>3</v>
      </c>
      <c r="GT6" s="49" t="s">
        <v>4</v>
      </c>
      <c r="GU6" s="49" t="s">
        <v>5</v>
      </c>
      <c r="GV6" s="49" t="s">
        <v>53</v>
      </c>
      <c r="GW6" s="49" t="s">
        <v>2</v>
      </c>
      <c r="GX6" s="49" t="s">
        <v>3</v>
      </c>
      <c r="GY6" s="49" t="s">
        <v>4</v>
      </c>
      <c r="GZ6" s="49" t="s">
        <v>5</v>
      </c>
      <c r="HA6" s="49" t="s">
        <v>53</v>
      </c>
      <c r="HB6" s="49" t="s">
        <v>2</v>
      </c>
      <c r="HC6" s="49" t="s">
        <v>3</v>
      </c>
      <c r="HD6" s="49" t="s">
        <v>4</v>
      </c>
      <c r="HE6" s="49" t="s">
        <v>5</v>
      </c>
      <c r="HF6" s="49" t="s">
        <v>53</v>
      </c>
      <c r="HG6" s="49" t="s">
        <v>2</v>
      </c>
      <c r="HH6" s="49" t="s">
        <v>3</v>
      </c>
      <c r="HI6" s="49" t="s">
        <v>4</v>
      </c>
      <c r="HJ6" s="49" t="s">
        <v>5</v>
      </c>
      <c r="HK6" s="49" t="s">
        <v>53</v>
      </c>
      <c r="HL6" s="49" t="s">
        <v>2</v>
      </c>
      <c r="HM6" s="49" t="s">
        <v>3</v>
      </c>
      <c r="HN6" s="49" t="s">
        <v>4</v>
      </c>
      <c r="HO6" s="49" t="s">
        <v>5</v>
      </c>
      <c r="HP6" s="49" t="s">
        <v>53</v>
      </c>
      <c r="HQ6" s="49" t="s">
        <v>2</v>
      </c>
      <c r="HR6" s="49" t="s">
        <v>3</v>
      </c>
      <c r="HS6" s="49" t="s">
        <v>4</v>
      </c>
      <c r="HT6" s="49" t="s">
        <v>5</v>
      </c>
      <c r="HU6" s="49" t="s">
        <v>53</v>
      </c>
      <c r="HV6" s="49" t="s">
        <v>2</v>
      </c>
      <c r="HW6" s="49" t="s">
        <v>3</v>
      </c>
      <c r="HX6" s="49" t="s">
        <v>4</v>
      </c>
      <c r="HY6" s="49" t="s">
        <v>5</v>
      </c>
      <c r="HZ6" s="49" t="s">
        <v>53</v>
      </c>
      <c r="IA6" s="49" t="s">
        <v>2</v>
      </c>
      <c r="IB6" s="49" t="s">
        <v>3</v>
      </c>
      <c r="IC6" s="49" t="s">
        <v>4</v>
      </c>
      <c r="ID6" s="49" t="s">
        <v>5</v>
      </c>
      <c r="IE6" s="49" t="s">
        <v>53</v>
      </c>
      <c r="IF6" s="49" t="s">
        <v>2</v>
      </c>
      <c r="IG6" s="49" t="s">
        <v>3</v>
      </c>
      <c r="IH6" s="49" t="s">
        <v>4</v>
      </c>
      <c r="II6" s="49" t="s">
        <v>5</v>
      </c>
      <c r="IJ6" s="49" t="s">
        <v>53</v>
      </c>
      <c r="IK6" s="49" t="s">
        <v>2</v>
      </c>
      <c r="IL6" s="49" t="s">
        <v>3</v>
      </c>
      <c r="IM6" s="49" t="s">
        <v>4</v>
      </c>
      <c r="IN6" s="49" t="s">
        <v>5</v>
      </c>
      <c r="IO6" s="49" t="s">
        <v>53</v>
      </c>
      <c r="IP6" s="49" t="s">
        <v>2</v>
      </c>
      <c r="IQ6" s="49" t="s">
        <v>3</v>
      </c>
      <c r="IR6" s="49" t="s">
        <v>4</v>
      </c>
      <c r="IS6" s="49" t="s">
        <v>5</v>
      </c>
      <c r="IT6" s="49" t="s">
        <v>53</v>
      </c>
      <c r="IU6" s="49" t="s">
        <v>2</v>
      </c>
      <c r="IV6" s="49" t="s">
        <v>3</v>
      </c>
      <c r="IW6" s="49" t="s">
        <v>4</v>
      </c>
      <c r="IX6" s="49" t="s">
        <v>5</v>
      </c>
      <c r="IY6" s="49" t="s">
        <v>53</v>
      </c>
      <c r="IZ6" s="49" t="s">
        <v>2</v>
      </c>
      <c r="JA6" s="49" t="s">
        <v>3</v>
      </c>
      <c r="JB6" s="49" t="s">
        <v>4</v>
      </c>
      <c r="JC6" s="49" t="s">
        <v>5</v>
      </c>
      <c r="JD6" s="49" t="s">
        <v>53</v>
      </c>
      <c r="JE6" s="49" t="s">
        <v>2</v>
      </c>
      <c r="JF6" s="49" t="s">
        <v>3</v>
      </c>
      <c r="JG6" s="49" t="s">
        <v>4</v>
      </c>
      <c r="JH6" s="49" t="s">
        <v>5</v>
      </c>
      <c r="JI6" s="49" t="s">
        <v>53</v>
      </c>
      <c r="JJ6" s="49" t="s">
        <v>2</v>
      </c>
      <c r="JK6" s="49" t="s">
        <v>3</v>
      </c>
      <c r="JL6" s="49" t="s">
        <v>4</v>
      </c>
      <c r="JM6" s="49" t="s">
        <v>5</v>
      </c>
      <c r="JN6" s="49" t="s">
        <v>53</v>
      </c>
      <c r="JO6" s="49" t="s">
        <v>2</v>
      </c>
      <c r="JP6" s="49" t="s">
        <v>3</v>
      </c>
      <c r="JQ6" s="49" t="s">
        <v>4</v>
      </c>
      <c r="JR6" s="49" t="s">
        <v>5</v>
      </c>
      <c r="JS6" s="49" t="s">
        <v>53</v>
      </c>
      <c r="JT6" s="49" t="s">
        <v>2</v>
      </c>
      <c r="JU6" s="49" t="s">
        <v>3</v>
      </c>
      <c r="JV6" s="49" t="s">
        <v>4</v>
      </c>
      <c r="JW6" s="49" t="s">
        <v>5</v>
      </c>
      <c r="JX6" s="49" t="s">
        <v>53</v>
      </c>
      <c r="JY6" s="49" t="s">
        <v>2</v>
      </c>
      <c r="JZ6" s="49" t="s">
        <v>3</v>
      </c>
      <c r="KA6" s="49" t="s">
        <v>4</v>
      </c>
      <c r="KB6" s="49" t="s">
        <v>5</v>
      </c>
      <c r="KC6" s="49" t="s">
        <v>53</v>
      </c>
      <c r="KD6" s="49" t="s">
        <v>2</v>
      </c>
      <c r="KE6" s="49" t="s">
        <v>3</v>
      </c>
      <c r="KF6" s="49" t="s">
        <v>4</v>
      </c>
      <c r="KG6" s="49" t="s">
        <v>5</v>
      </c>
      <c r="KH6" s="49" t="s">
        <v>53</v>
      </c>
      <c r="KI6" s="49" t="s">
        <v>2</v>
      </c>
      <c r="KJ6" s="49" t="s">
        <v>3</v>
      </c>
      <c r="KK6" s="49" t="s">
        <v>4</v>
      </c>
      <c r="KL6" s="49" t="s">
        <v>5</v>
      </c>
      <c r="KM6" s="49" t="s">
        <v>53</v>
      </c>
      <c r="KN6" s="49" t="s">
        <v>2</v>
      </c>
      <c r="KO6" s="49" t="s">
        <v>3</v>
      </c>
      <c r="KP6" s="49" t="s">
        <v>4</v>
      </c>
      <c r="KQ6" s="49" t="s">
        <v>5</v>
      </c>
      <c r="KR6" s="49" t="s">
        <v>53</v>
      </c>
      <c r="KS6" s="49" t="s">
        <v>2</v>
      </c>
      <c r="KT6" s="49" t="s">
        <v>3</v>
      </c>
      <c r="KU6" s="49" t="s">
        <v>4</v>
      </c>
      <c r="KV6" s="49" t="s">
        <v>5</v>
      </c>
      <c r="KW6" s="49" t="s">
        <v>53</v>
      </c>
      <c r="KX6" s="49" t="s">
        <v>2</v>
      </c>
      <c r="KY6" s="49" t="s">
        <v>3</v>
      </c>
      <c r="KZ6" s="49" t="s">
        <v>4</v>
      </c>
      <c r="LA6" s="49" t="s">
        <v>5</v>
      </c>
      <c r="LB6" s="49" t="s">
        <v>53</v>
      </c>
      <c r="LC6" s="49" t="s">
        <v>2</v>
      </c>
      <c r="LD6" s="49" t="s">
        <v>3</v>
      </c>
      <c r="LE6" s="49" t="s">
        <v>4</v>
      </c>
      <c r="LF6" s="49" t="s">
        <v>5</v>
      </c>
      <c r="LG6" s="49" t="s">
        <v>53</v>
      </c>
      <c r="LH6" s="49" t="s">
        <v>2</v>
      </c>
      <c r="LI6" s="49" t="s">
        <v>3</v>
      </c>
      <c r="LJ6" s="49" t="s">
        <v>4</v>
      </c>
      <c r="LK6" s="49" t="s">
        <v>5</v>
      </c>
      <c r="LL6" s="49" t="s">
        <v>53</v>
      </c>
      <c r="LM6" s="49" t="s">
        <v>2</v>
      </c>
      <c r="LN6" s="49" t="s">
        <v>3</v>
      </c>
      <c r="LO6" s="49" t="s">
        <v>4</v>
      </c>
      <c r="LP6" s="49" t="s">
        <v>5</v>
      </c>
      <c r="LQ6" s="49" t="s">
        <v>53</v>
      </c>
      <c r="LR6" s="49" t="s">
        <v>2</v>
      </c>
      <c r="LS6" s="49" t="s">
        <v>3</v>
      </c>
      <c r="LT6" s="49" t="s">
        <v>4</v>
      </c>
      <c r="LU6" s="49" t="s">
        <v>5</v>
      </c>
      <c r="LV6" s="49" t="s">
        <v>53</v>
      </c>
      <c r="LW6" s="49" t="s">
        <v>2</v>
      </c>
      <c r="LX6" s="49" t="s">
        <v>3</v>
      </c>
      <c r="LY6" s="49" t="s">
        <v>4</v>
      </c>
      <c r="LZ6" s="49" t="s">
        <v>5</v>
      </c>
      <c r="MA6" s="49" t="s">
        <v>53</v>
      </c>
      <c r="MB6" s="49" t="s">
        <v>2</v>
      </c>
      <c r="MC6" s="49" t="s">
        <v>3</v>
      </c>
      <c r="MD6" s="49" t="s">
        <v>4</v>
      </c>
      <c r="ME6" s="49" t="s">
        <v>5</v>
      </c>
      <c r="MF6" s="49" t="s">
        <v>53</v>
      </c>
      <c r="MG6" s="49" t="s">
        <v>2</v>
      </c>
      <c r="MH6" s="49" t="s">
        <v>3</v>
      </c>
      <c r="MI6" s="49" t="s">
        <v>4</v>
      </c>
      <c r="MJ6" s="49" t="s">
        <v>5</v>
      </c>
      <c r="MK6" s="49" t="s">
        <v>53</v>
      </c>
      <c r="ML6" s="49" t="s">
        <v>2</v>
      </c>
      <c r="MM6" s="49" t="s">
        <v>3</v>
      </c>
      <c r="MN6" s="49" t="s">
        <v>4</v>
      </c>
      <c r="MO6" s="49" t="s">
        <v>5</v>
      </c>
      <c r="MP6" s="49" t="s">
        <v>53</v>
      </c>
      <c r="MQ6" s="49" t="s">
        <v>2</v>
      </c>
      <c r="MR6" s="49" t="s">
        <v>3</v>
      </c>
      <c r="MS6" s="49" t="s">
        <v>4</v>
      </c>
      <c r="MT6" s="49" t="s">
        <v>5</v>
      </c>
      <c r="MU6" s="49" t="s">
        <v>53</v>
      </c>
      <c r="MV6" s="49" t="s">
        <v>2</v>
      </c>
      <c r="MW6" s="49" t="s">
        <v>3</v>
      </c>
      <c r="MX6" s="49" t="s">
        <v>4</v>
      </c>
      <c r="MY6" s="49" t="s">
        <v>5</v>
      </c>
      <c r="MZ6" s="49" t="s">
        <v>53</v>
      </c>
      <c r="NA6" s="49" t="s">
        <v>2</v>
      </c>
      <c r="NB6" s="49" t="s">
        <v>3</v>
      </c>
      <c r="NC6" s="49" t="s">
        <v>4</v>
      </c>
      <c r="ND6" s="49" t="s">
        <v>5</v>
      </c>
      <c r="NE6" s="34" t="s">
        <v>53</v>
      </c>
      <c r="NF6" s="38" t="s">
        <v>2</v>
      </c>
      <c r="NG6" s="38" t="s">
        <v>3</v>
      </c>
      <c r="NH6" s="34" t="s">
        <v>4</v>
      </c>
      <c r="NI6" s="34" t="s">
        <v>5</v>
      </c>
      <c r="NJ6" s="34" t="s">
        <v>53</v>
      </c>
      <c r="NK6" s="38" t="s">
        <v>2</v>
      </c>
      <c r="NL6" s="38" t="s">
        <v>3</v>
      </c>
      <c r="NM6" s="34" t="s">
        <v>4</v>
      </c>
      <c r="NN6" s="34" t="s">
        <v>5</v>
      </c>
      <c r="NO6" s="49" t="s">
        <v>2</v>
      </c>
      <c r="NP6" s="49" t="s">
        <v>3</v>
      </c>
      <c r="NQ6" s="49" t="s">
        <v>4</v>
      </c>
      <c r="NR6" s="49" t="s">
        <v>5</v>
      </c>
      <c r="NS6" s="115" t="s">
        <v>2</v>
      </c>
      <c r="NT6" s="115" t="s">
        <v>3</v>
      </c>
      <c r="NU6" s="115" t="s">
        <v>4</v>
      </c>
      <c r="NV6" s="115" t="s">
        <v>5</v>
      </c>
      <c r="NW6" s="6"/>
    </row>
    <row r="7" spans="1:387" s="5" customFormat="1" ht="18" customHeight="1">
      <c r="A7" s="12"/>
      <c r="B7" s="62" t="s">
        <v>45</v>
      </c>
      <c r="C7" s="63">
        <v>110001</v>
      </c>
      <c r="D7" s="64" t="s">
        <v>46</v>
      </c>
      <c r="E7" s="93">
        <f>IF($IE7-SUM(L7,Q7,V7,AA7,AF7,AK7,AP7,AU7,AZ7,BE7,BJ7,BO7,BT7,BY7,CD7,CI7,CN7,CS7,CX7,DC7,DH7,DM7,DR7,DW7,EB7,EG7,EL7,EQ7,EV7,FA7,FF7,FK7,FP7,FU7,FZ7,GE7,GJ7,GO7,GT7,GY7,HD7,HI7,HN7,HS7,HX7,IC7,IH7)&gt;0,$IE7-SUM(L7,Q7,V7,AA7,AF7,AK7,AP7,AU7,AZ7,BE7,BJ7,BO7,BT7,BY7,CD7,CI7,CN7,CS7,CX7,DC7,DH7,DM7,DR7,DW7,EB7,EG7,EL7,EQ7,EV7,FA7,FF7,FK7,FP7,FU7,FZ7,GE7,GJ7,GO7,GT7,GY7,HD7,HI7,HN7,HS7,HX7,IC7,IH7),"---")</f>
        <v>1909</v>
      </c>
      <c r="F7" s="63">
        <v>59</v>
      </c>
      <c r="G7" s="63">
        <v>71</v>
      </c>
      <c r="H7" s="63">
        <v>-12</v>
      </c>
      <c r="I7" s="93">
        <f>IF($IE7-SUM($Q$7,$V$7,$AA$7,$AF$7,$AK$7,$AP$7,$AU$7,$AZ$7,$BE$7,$BJ$7,$BO$7,$BT$7,$BY$7,$CD$7,$CI$7,$CN$7,$CS$7,$CX$7,$DC$7,$DH$7,$DM$7,$DR$7,$DW$7,$EB$7,$EG$7,$EL$7,$EQ$7,$EV$7,$FA$7,$FF$7,$FK$7,$FP$7,$FU$7,$FZ$7,$GE$7,$GJ$7,$GO$7,$GT$7,$GY$7,$HD$7,$HI$7,$HN$7,$HS$7,$HX$7,$IC$7,$IH$7)&gt;0,$IE7-SUM($Q$7,$V$7,$AA$7,$AF$7,$AK$7,$AP$7,$AU$7,$AZ$7,$BE$7,$BJ$7,$BO$7,$BT$7,$BY$7,$CD$7,$CI$7,$CN$7,$CS$7,$CX$7,$DC$7,$DH$7,$DM$7,$DR$7,$DW$7,$EB$7,$EG$7,$EL$7,$EQ$7,$EV$7,$FA$7,$FF$7,$FK$7,$FP$7,$FU$7,$FZ$7,$GE$7,$GJ$7,$GO$7,$GT$7,$GY$7,$HD$7,$HI$7,$HN$7,$HS$7,$HX$7,$IC$7,$IH$7),"---")</f>
        <v>1920</v>
      </c>
      <c r="J7" s="63">
        <v>68</v>
      </c>
      <c r="K7" s="63">
        <v>57</v>
      </c>
      <c r="L7" s="63">
        <v>11</v>
      </c>
      <c r="M7" s="94">
        <f>(L7/E7)*100</f>
        <v>0.57621791513881615</v>
      </c>
      <c r="N7" s="93">
        <f>IF($IE7-SUM(V7,AA7,AF7,AK7,AP7,AU7,AZ7,BE7,BJ7,BO7,BT7,BY7,CD7,CI7,CN7,CS7,CX7,DC7,DH7,DM7,DR7,DW7,EB7,EG7,EL7,EQ7,EV7,FA7,FF7,FK7,FP7,FU7,FZ7,GE7,GJ7,GO7,GT7,GY7,HD7,HI7,HN7,HS7,HX7,IC7,IH7)&gt;0,$IE7-SUM(V7,AA7,AF7,AK7,AP7,AU7,AZ7,BE7,BJ7,BO7,BT7,BY7,CD7,CI7,CN7,CS7,CX7,DC7,DH7,DM7,DR7,DW7,EB7,EG7,EL7,EQ7,EV7,FA7,FF7,FK7,FP7,FU7,FZ7,GE7,GJ7,GO7,GT7,GY7,HD7,HI7,HN7,HS7,HX7,IC7,IH7),"---")</f>
        <v>1901</v>
      </c>
      <c r="O7" s="65">
        <v>64</v>
      </c>
      <c r="P7" s="65">
        <v>83</v>
      </c>
      <c r="Q7" s="65">
        <v>-19</v>
      </c>
      <c r="R7" s="94">
        <f>(Q7/I7)*100</f>
        <v>-0.98958333333333326</v>
      </c>
      <c r="S7" s="93">
        <f>IF($IE7-SUM(AA7,AF7,AK7,AP7,AU7,AZ7,BE7,BJ7,BO7,BT7,BY7,CD7,CI7,CN7,CS7,CX7,DC7,DH7,DM7,DR7,DW7,EB7,EG7,EL7,EQ7,EV7,FA7,FF7,FK7,FP7,FU7,FZ7,GE7,GJ7,GO7,GT7,GY7,HD7,HI7,HN7,HS7,HX7,IC7,IH7)&gt;0,$IE7-SUM(AA7,AF7,AK7,AP7,AU7,AZ7,BE7,BJ7,BO7,BT7,BY7,CD7,CI7,CN7,CS7,CX7,DC7,DH7,DM7,DR7,DW7,EB7,EG7,EL7,EQ7,EV7,FA7,FF7,FK7,FP7,FU7,FZ7,GE7,GJ7,GO7,GT7,GY7,HD7,HI7,HN7,HS7,HX7,IC7,IH7),"---")</f>
        <v>1874</v>
      </c>
      <c r="T7" s="65">
        <v>41</v>
      </c>
      <c r="U7" s="65">
        <v>68</v>
      </c>
      <c r="V7" s="65">
        <v>-27</v>
      </c>
      <c r="W7" s="94">
        <f>(V7/N7)*100</f>
        <v>-1.4203051025775908</v>
      </c>
      <c r="X7" s="93">
        <f>IF($IE7-SUM(AF7,AK7,AP7,AU7,AZ7,BE7,BJ7,BO7,BT7,BY7,CD7,CI7,CN7,CS7,CX7,DC7,DH7,DM7,DR7,DW7,EB7,EG7,EL7,EQ7,EV7,FA7,FF7,FK7,FP7,FU7,FZ7,GE7,GJ7,GO7,GT7,GY7,HD7,HI7,HN7,HS7,HX7,IC7,IH7)&gt;0,$IE7-SUM(AF7,AK7,AP7,AU7,AZ7,BE7,BJ7,BO7,BT7,BY7,CD7,CI7,CN7,CS7,CX7,DC7,DH7,DM7,DR7,DW7,EB7,EG7,EL7,EQ7,EV7,FA7,FF7,FK7,FP7,FU7,FZ7,GE7,GJ7,GO7,GT7,GY7,HD7,HI7,HN7,HS7,HX7,IC7,IH7),"---")</f>
        <v>1871</v>
      </c>
      <c r="Y7" s="65">
        <v>41</v>
      </c>
      <c r="Z7" s="65">
        <v>44</v>
      </c>
      <c r="AA7" s="65">
        <v>-3</v>
      </c>
      <c r="AB7" s="94">
        <f>(AA7/S7)*100</f>
        <v>-0.16008537886872998</v>
      </c>
      <c r="AC7" s="93">
        <f>IF($IE7-SUM(AK7,AP7,AU7,AZ7,BE7,BJ7,BO7,BT7,BY7,CD7,CI7,CN7,CS7,CX7,DC7,DH7,DM7,DR7,DW7,EB7,EG7,EL7,EQ7,EV7,FA7,FF7,FK7,FP7,FU7,FZ7,GE7,GJ7,GO7,GT7,GY7,HD7,HI7,HN7,HS7,HX7,IC7,IH7)&gt;0,$IE7-SUM(AK7,AP7,AU7,AZ7,BE7,BJ7,BO7,BT7,BY7,CD7,CI7,CN7,CS7,CX7,DC7,DH7,DM7,DR7,DW7,EB7,EG7,EL7,EQ7,EV7,FA7,FF7,FK7,FP7,FU7,FZ7,GE7,GJ7,GO7,GT7,GY7,HD7,HI7,HN7,HS7,HX7,IC7,IH7),"---")</f>
        <v>1888</v>
      </c>
      <c r="AD7" s="65">
        <v>55</v>
      </c>
      <c r="AE7" s="65">
        <v>38</v>
      </c>
      <c r="AF7" s="65">
        <v>17</v>
      </c>
      <c r="AG7" s="94">
        <f>(AF7/X7)*100</f>
        <v>0.90860502405130938</v>
      </c>
      <c r="AH7" s="93">
        <f>IF($IE7-SUM(AP7,AU7,AZ7,BE7,BJ7,BO7,BT7,BY7,CD7,CI7,CN7,CS7,CX7,DC7,DH7,DM7,DR7,DW7,EB7,EG7,EL7,EQ7,EV7,FA7,FF7,FK7,FP7,FU7,FZ7,GE7,GJ7,GO7,GT7,GY7,HD7,HI7,HN7,HS7,HX7,IC7,IH7)&gt;0,$IE7-SUM(AP7,AU7,AZ7,BE7,BJ7,BO7,BT7,BY7,CD7,CI7,CN7,CS7,CX7,DC7,DH7,DM7,DR7,DW7,EB7,EG7,EL7,EQ7,EV7,FA7,FF7,FK7,FP7,FU7,FZ7,GE7,GJ7,GO7,GT7,GY7,HD7,HI7,HN7,HS7,HX7,IC7,IH7),"---")</f>
        <v>1898</v>
      </c>
      <c r="AI7" s="65">
        <v>48</v>
      </c>
      <c r="AJ7" s="65">
        <v>38</v>
      </c>
      <c r="AK7" s="65">
        <v>10</v>
      </c>
      <c r="AL7" s="94">
        <f>(AK7/AC7)*100</f>
        <v>0.52966101694915246</v>
      </c>
      <c r="AM7" s="93">
        <f>IF($IE7-SUM(AU7,AZ7,BE7,BJ7,BO7,BT7,BY7,CD7,CI7,CN7,CS7,CX7,DC7,DH7,DM7,DR7,DW7,EB7,EG7,EL7,EQ7,EV7,FA7,FF7,FK7,FP7,FU7,FZ7,GE7,GJ7,GO7,GT7,GY7,HD7,HI7,HN7,HS7,HX7,IC7,IH7)&gt;0,$IE7-SUM(AU7,AZ7,BE7,BJ7,BO7,BT7,BY7,CD7,CI7,CN7,CS7,CX7,DC7,DH7,DM7,DR7,DW7,EB7,EG7,EL7,EQ7,EV7,FA7,FF7,FK7,FP7,FU7,FZ7,GE7,GJ7,GO7,GT7,GY7,HD7,HI7,HN7,HS7,HX7,IC7,IH7),"---")</f>
        <v>1913</v>
      </c>
      <c r="AN7" s="65">
        <v>57</v>
      </c>
      <c r="AO7" s="65">
        <v>42</v>
      </c>
      <c r="AP7" s="65">
        <v>15</v>
      </c>
      <c r="AQ7" s="94">
        <f>(AP7/AH7)*100</f>
        <v>0.79030558482613289</v>
      </c>
      <c r="AR7" s="93">
        <f>IF($IE7-SUM(AZ7,BE7,BJ7,BO7,BT7,BY7,CD7,CI7,CN7,CS7,CX7,DC7,DH7,DM7,DR7,DW7,EB7,EG7,EL7,EQ7,EV7,FA7,FF7,FK7,FP7,FU7,FZ7,GE7,GJ7,GO7,GT7,GY7,HD7,HI7,HN7,HS7,HX7,IC7,IH7)&gt;0,$IE7-SUM(AZ7,BE7,BJ7,BO7,BT7,BY7,CD7,CI7,CN7,CS7,CX7,DC7,DH7,DM7,DR7,DW7,EB7,EG7,EL7,EQ7,EV7,FA7,FF7,FK7,FP7,FU7,FZ7,GE7,GJ7,GO7,GT7,GY7,HD7,HI7,HN7,HS7,HX7,IC7,IH7),"---")</f>
        <v>1952</v>
      </c>
      <c r="AS7" s="65">
        <v>82</v>
      </c>
      <c r="AT7" s="65">
        <v>43</v>
      </c>
      <c r="AU7" s="65">
        <v>39</v>
      </c>
      <c r="AV7" s="94">
        <f>(AU7/AM7)*100</f>
        <v>2.0386826973340306</v>
      </c>
      <c r="AW7" s="93">
        <f>IF($IE7-SUM(BE7,BJ7,BO7,BT7,BY7,CD7,CI7,CN7,CS7,CX7,DC7,DH7,DM7,DR7,DW7,EB7,EG7,EL7,EQ7,EV7,FA7,FF7,FK7,FP7,FU7,FZ7,GE7,GJ7,GO7,GT7,GY7,HD7,HI7,HN7,HS7,HX7,IC7,IH7)&gt;0,$IE7-SUM(BE7,BJ7,BO7,BT7,BY7,CD7,CI7,CN7,CS7,CX7,DC7,DH7,DM7,DR7,DW7,EB7,EG7,EL7,EQ7,EV7,FA7,FF7,FK7,FP7,FU7,FZ7,GE7,GJ7,GO7,GT7,GY7,HD7,HI7,HN7,HS7,HX7,IC7,IH7),"---")</f>
        <v>1963</v>
      </c>
      <c r="AX7" s="65">
        <v>56</v>
      </c>
      <c r="AY7" s="65">
        <v>45</v>
      </c>
      <c r="AZ7" s="65">
        <v>11</v>
      </c>
      <c r="BA7" s="94">
        <f>(AZ7/AR7)*100</f>
        <v>0.56352459016393441</v>
      </c>
      <c r="BB7" s="93">
        <f>IF($IE7-SUM(BJ7,BO7,BT7,BY7,CD7,CI7,CN7,CS7,CX7,DC7,DH7,DM7,DR7,DW7,EB7,EG7,EL7,EQ7,EV7,FA7,FF7,FK7,FP7,FU7,FZ7,GE7,GJ7,GO7,GT7,GY7,HD7,HI7,HN7,HS7,HX7,IC7,IH7)&gt;0,$IE7-SUM(BJ7,BO7,BT7,BY7,CD7,CI7,CN7,CS7,CX7,DC7,DH7,DM7,DR7,DW7,EB7,EG7,EL7,EQ7,EV7,FA7,FF7,FK7,FP7,FU7,FZ7,GE7,GJ7,GO7,GT7,GY7,HD7,HI7,HN7,HS7,HX7,IC7,IH7),"---")</f>
        <v>1977</v>
      </c>
      <c r="BC7" s="65">
        <v>65</v>
      </c>
      <c r="BD7" s="65">
        <v>51</v>
      </c>
      <c r="BE7" s="65">
        <v>14</v>
      </c>
      <c r="BF7" s="94">
        <f>(BE7/AW7)*100</f>
        <v>0.71319409067753436</v>
      </c>
      <c r="BG7" s="93">
        <f>IF($IE7-SUM(BO7,BT7,BY7,CD7,CI7,CN7,CS7,CX7,DC7,DH7,DM7,DR7,DW7,EB7,EG7,EL7,EQ7,EV7,FA7,FF7,FK7,FP7,FU7,FZ7,GE7,GJ7,GO7,GT7,GY7,HD7,HI7,HN7,HS7,HX7,IC7,IH7)&gt;0,$IE7-SUM(BO7,BT7,BY7,CD7,CI7,CN7,CS7,CX7,DC7,DH7,DM7,DR7,DW7,EB7,EG7,EL7,EQ7,EV7,FA7,FF7,FK7,FP7,FU7,FZ7,GE7,GJ7,GO7,GT7,GY7,HD7,HI7,HN7,HS7,HX7,IC7,IH7),"---")</f>
        <v>1989</v>
      </c>
      <c r="BH7" s="65">
        <v>43</v>
      </c>
      <c r="BI7" s="65">
        <v>31</v>
      </c>
      <c r="BJ7" s="65">
        <v>12</v>
      </c>
      <c r="BK7" s="94">
        <f>(BJ7/BB7)*100</f>
        <v>0.60698027314112291</v>
      </c>
      <c r="BL7" s="93">
        <f>IF($IE7-SUM(BT7,BY7,CD7,CI7,CN7,CS7,CX7,DC7,DH7,DM7,DR7,DW7,EB7,EG7,EL7,EQ7,EV7,FA7,FF7,FK7,FP7,FU7,FZ7,GE7,GJ7,GO7,GT7,GY7,HD7,HI7,HN7,HS7,HX7,IC7,IH7)&gt;0,$IE7-SUM(BT7,BY7,CD7,CI7,CN7,CS7,CX7,DC7,DH7,DM7,DR7,DW7,EB7,EG7,EL7,EQ7,EV7,FA7,FF7,FK7,FP7,FU7,FZ7,GE7,GJ7,GO7,GT7,GY7,HD7,HI7,HN7,HS7,HX7,IC7,IH7),"---")</f>
        <v>2009</v>
      </c>
      <c r="BM7" s="65">
        <v>95</v>
      </c>
      <c r="BN7" s="65">
        <v>75</v>
      </c>
      <c r="BO7" s="65">
        <v>20</v>
      </c>
      <c r="BP7" s="94">
        <f>(BO7/BG7)*100</f>
        <v>1.0055304172951232</v>
      </c>
      <c r="BQ7" s="93">
        <f>IF($IE7-SUM(BY7,CD7,CI7,CN7,CS7,CX7,DC7,DH7,DM7,DR7,DW7,EB7,EG7,EL7,EQ7,EV7,FA7,FF7,FK7,FP7,FU7,FZ7,GE7,GJ7,GO7,GT7,GY7,HD7,HI7,HN7,HS7,HX7,IC7,IH7)&gt;0,$IE7-SUM(BY7,CD7,CI7,CN7,CS7,CX7,DC7,DH7,DM7,DR7,DW7,EB7,EG7,EL7,EQ7,EV7,FA7,FF7,FK7,FP7,FU7,FZ7,GE7,GJ7,GO7,GT7,GY7,HD7,HI7,HN7,HS7,HX7,IC7,IH7),"---")</f>
        <v>2023</v>
      </c>
      <c r="BR7" s="65">
        <v>76</v>
      </c>
      <c r="BS7" s="65">
        <v>62</v>
      </c>
      <c r="BT7" s="65">
        <v>14</v>
      </c>
      <c r="BU7" s="94">
        <f>(BT7/BL7)*100</f>
        <v>0.69686411149825789</v>
      </c>
      <c r="BV7" s="93">
        <f>IF($IE7-SUM(CD7,CI7,CN7,CS7,CX7,DC7,DH7,DM7,DR7,DW7,EB7,EG7,EL7,EQ7,EV7,FA7,FF7,FK7,FP7,FU7,FZ7,GE7,GJ7,GO7,GT7,GY7,HD7,HI7,HN7,HS7,HX7,IC7,IH7)&gt;0,$IE7-SUM(CD7,CI7,CN7,CS7,CX7,DC7,DH7,DM7,DR7,DW7,EB7,EG7,EL7,EQ7,EV7,FA7,FF7,FK7,FP7,FU7,FZ7,GE7,GJ7,GO7,GT7,GY7,HD7,HI7,HN7,HS7,HX7,IC7,IH7),"---")</f>
        <v>2024</v>
      </c>
      <c r="BW7" s="65">
        <v>87</v>
      </c>
      <c r="BX7" s="65">
        <v>86</v>
      </c>
      <c r="BY7" s="65">
        <v>1</v>
      </c>
      <c r="BZ7" s="94">
        <f>(BY7/BQ7)*100</f>
        <v>4.9431537320810674E-2</v>
      </c>
      <c r="CA7" s="93">
        <f>IF($IE7-SUM(CI7,CN7,CS7,CX7,DC7,DH7,DM7,DR7,DW7,EB7,EG7,EL7,EQ7,EV7,FA7,FF7,FK7,FP7,FU7,FZ7,GE7,GJ7,GO7,GT7,GY7,HD7,HI7,HN7,HS7,HX7,IC7,IH7)&gt;0,$IE7-SUM(CI7,CN7,CS7,CX7,DC7,DH7,DM7,DR7,DW7,EB7,EG7,EL7,EQ7,EV7,FA7,FF7,FK7,FP7,FU7,FZ7,GE7,GJ7,GO7,GT7,GY7,HD7,HI7,HN7,HS7,HX7,IC7,IH7),"---")</f>
        <v>2037</v>
      </c>
      <c r="CB7" s="65">
        <v>65</v>
      </c>
      <c r="CC7" s="65">
        <v>52</v>
      </c>
      <c r="CD7" s="65">
        <v>13</v>
      </c>
      <c r="CE7" s="94">
        <f>(CD7/BV7)*100</f>
        <v>0.64229249011857714</v>
      </c>
      <c r="CF7" s="93">
        <f>IF($IE7-SUM(CN7,CS7,CX7,DC7,DH7,DM7,DR7,DW7,EB7,EG7,EL7,EQ7,EV7,FA7,FF7,FK7,FP7,FU7,FZ7,GE7,GJ7,GO7,GT7,GY7,HD7,HI7,HN7,HS7,HX7,IC7,IH7)&gt;0,$IE7-SUM(CN7,CS7,CX7,DC7,DH7,DM7,DR7,DW7,EB7,EG7,EL7,EQ7,EV7,FA7,FF7,FK7,FP7,FU7,FZ7,GE7,GJ7,GO7,GT7,GY7,HD7,HI7,HN7,HS7,HX7,IC7,IH7),"---")</f>
        <v>2068</v>
      </c>
      <c r="CG7" s="65">
        <v>87</v>
      </c>
      <c r="CH7" s="65">
        <v>56</v>
      </c>
      <c r="CI7" s="65">
        <v>31</v>
      </c>
      <c r="CJ7" s="94">
        <f>(CI7/CA7)*100</f>
        <v>1.5218458517427589</v>
      </c>
      <c r="CK7" s="93">
        <f>IF($IE7-SUM(CS7,CX7,DC7,DH7,DM7,DR7,DW7,EB7,EG7,EL7,EQ7,EV7,FA7,FF7,FK7,FP7,FU7,FZ7,GE7,GJ7,GO7,GT7,GY7,HD7,HI7,HN7,HS7,HX7,IC7,IH7)&gt;0,$IE7-SUM(CS7,CX7,DC7,DH7,DM7,DR7,DW7,EB7,EG7,EL7,EQ7,EV7,FA7,FF7,FK7,FP7,FU7,FZ7,GE7,GJ7,GO7,GT7,GY7,HD7,HI7,HN7,HS7,HX7,IC7,IH7),"---")</f>
        <v>2089</v>
      </c>
      <c r="CL7" s="65">
        <v>81</v>
      </c>
      <c r="CM7" s="65">
        <v>60</v>
      </c>
      <c r="CN7" s="65">
        <v>21</v>
      </c>
      <c r="CO7" s="94">
        <f>(CN7/CF7)*100</f>
        <v>1.0154738878143132</v>
      </c>
      <c r="CP7" s="93">
        <f>IF($IE7-SUM(CX7,DC7,DH7,DM7,DR7,DW7,EB7,EG7,EL7,EQ7,EV7,FA7,FF7,FK7,FP7,FU7,FZ7,GE7,GJ7,GO7,GT7,GY7,HD7,HI7,HN7,HS7,HX7,IC7,IH7)&gt;0,$IE7-SUM(CX7,DC7,DH7,DM7,DR7,DW7,EB7,EG7,EL7,EQ7,EV7,FA7,FF7,FK7,FP7,FU7,FZ7,GE7,GJ7,GO7,GT7,GY7,HD7,HI7,HN7,HS7,HX7,IC7,IH7),"---")</f>
        <v>2105</v>
      </c>
      <c r="CQ7" s="65">
        <v>103</v>
      </c>
      <c r="CR7" s="65">
        <v>87</v>
      </c>
      <c r="CS7" s="65">
        <v>16</v>
      </c>
      <c r="CT7" s="94">
        <f>(CS7/CK7)*100</f>
        <v>0.7659167065581618</v>
      </c>
      <c r="CU7" s="93">
        <f>IF($IE7-SUM(DC7,DH7,DM7,DR7,DW7,EB7,EG7,EL7,EQ7,EV7,FA7,FF7,FK7,FP7,FU7,FZ7,GE7,GJ7,GO7,GT7,GY7,HD7,HI7,HN7,HS7,HX7,IC7,IH7)&gt;0,$IE7-SUM(DC7,DH7,DM7,DR7,DW7,EB7,EG7,EL7,EQ7,EV7,FA7,FF7,FK7,FP7,FU7,FZ7,GE7,GJ7,GO7,GT7,GY7,HD7,HI7,HN7,HS7,HX7,IC7,IH7),"---")</f>
        <v>2124</v>
      </c>
      <c r="CV7" s="65">
        <v>102</v>
      </c>
      <c r="CW7" s="65">
        <v>83</v>
      </c>
      <c r="CX7" s="65">
        <v>19</v>
      </c>
      <c r="CY7" s="94">
        <f>(CX7/CP7)*100</f>
        <v>0.90261282660332542</v>
      </c>
      <c r="CZ7" s="93">
        <f>IF($IE7-SUM(DH7,DM7,DR7,DW7,EB7,EG7,EL7,EQ7,EV7,FA7,FF7,FK7,FP7,FU7,FZ7,GE7,GJ7,GO7,GT7,GY7,HD7,HI7,HN7,HS7,HX7,IC7,IH7)&gt;0,$IE7-SUM(DH7,DM7,DR7,DW7,EB7,EG7,EL7,EQ7,EV7,FA7,FF7,FK7,FP7,FU7,FZ7,GE7,GJ7,GO7,GT7,GY7,HD7,HI7,HN7,HS7,HX7,IC7,IH7),"---")</f>
        <v>2124</v>
      </c>
      <c r="DA7" s="65">
        <v>79</v>
      </c>
      <c r="DB7" s="65">
        <v>79</v>
      </c>
      <c r="DC7" s="65">
        <v>0</v>
      </c>
      <c r="DD7" s="94">
        <f>(DC7/CU7)*100</f>
        <v>0</v>
      </c>
      <c r="DE7" s="93">
        <f>IF($IE7-SUM(DM7,DR7,DW7,EB7,EG7,EL7,EQ7,EV7,FA7,FF7,FK7,FP7,FU7,FZ7,GE7,GJ7,GO7,GT7,GY7,HD7,HI7,HN7,HS7,HX7,IC7,IH7)&gt;0,$IE7-SUM(DM7,DR7,DW7,EB7,EG7,EL7,EQ7,EV7,FA7,FF7,FK7,FP7,FU7,FZ7,GE7,GJ7,GO7,GT7,GY7,HD7,HI7,HN7,HS7,HX7,IC7,IH7),"---")</f>
        <v>2127</v>
      </c>
      <c r="DF7" s="65">
        <v>82</v>
      </c>
      <c r="DG7" s="65">
        <v>79</v>
      </c>
      <c r="DH7" s="65">
        <v>3</v>
      </c>
      <c r="DI7" s="94">
        <f>(DH7/CZ7)*100</f>
        <v>0.14124293785310735</v>
      </c>
      <c r="DJ7" s="93">
        <f>IF($IE7-SUM(DR7,DW7,EB7,EG7,EL7,EQ7,EV7,FA7,FF7,FK7,FP7,FU7,FZ7,GE7,GJ7,GO7,GT7,GY7,HD7,HI7,HN7,HS7,HX7,IC7,IH7)&gt;0,$IE7-SUM(DR7,DW7,EB7,EG7,EL7,EQ7,EV7,FA7,FF7,FK7,FP7,FU7,FZ7,GE7,GJ7,GO7,GT7,GY7,HD7,HI7,HN7,HS7,HX7,IC7,IH7),"---")</f>
        <v>2121</v>
      </c>
      <c r="DK7" s="65">
        <v>81</v>
      </c>
      <c r="DL7" s="65">
        <v>87</v>
      </c>
      <c r="DM7" s="65">
        <v>-6</v>
      </c>
      <c r="DN7" s="94">
        <f>(DM7/DE7)*100</f>
        <v>-0.28208744710860367</v>
      </c>
      <c r="DO7" s="93">
        <f>IF($IE7-SUM(DW7,EB7,EG7,EL7,EQ7,EV7,FA7,FF7,FK7,FP7,FU7,FZ7,GE7,GJ7,GO7,GT7,GY7,HD7,HI7,HN7,HS7,HX7,IC7,IH7)&gt;0,$IE7-SUM(DW7,EB7,EG7,EL7,EQ7,EV7,FA7,FF7,FK7,FP7,FU7,FZ7,GE7,GJ7,GO7,GT7,GY7,HD7,HI7,HN7,HS7,HX7,IC7,IH7),"---")</f>
        <v>2091</v>
      </c>
      <c r="DP7" s="65">
        <v>54</v>
      </c>
      <c r="DQ7" s="65">
        <v>84</v>
      </c>
      <c r="DR7" s="65">
        <v>-30</v>
      </c>
      <c r="DS7" s="94">
        <f>(DR7/DJ7)*100</f>
        <v>-1.4144271570014144</v>
      </c>
      <c r="DT7" s="93">
        <f>IF($IE7-SUM(EB7,EG7,EL7,EQ7,EV7,FA7,FF7,FK7,FP7,FU7,FZ7,GE7,GJ7,GO7,GT7,GY7,HD7,HI7,HN7,HS7,HX7,IC7,IH7)&gt;0,$IE7-SUM(EB7,EG7,EL7,EQ7,EV7,FA7,FF7,FK7,FP7,FU7,FZ7,GE7,GJ7,GO7,GT7,GY7,HD7,HI7,HN7,HS7,HX7,IC7,IH7),"---")</f>
        <v>2096</v>
      </c>
      <c r="DU7" s="65">
        <v>103</v>
      </c>
      <c r="DV7" s="65">
        <v>98</v>
      </c>
      <c r="DW7" s="65">
        <v>5</v>
      </c>
      <c r="DX7" s="94">
        <f>(DW7/DO7)*100</f>
        <v>0.23912003825920614</v>
      </c>
      <c r="DY7" s="93">
        <f>IF($IE7-SUM(EG7,EL7,EQ7,EV7,FA7,FF7,FK7,FP7,FU7,FZ7,GE7,GJ7,GO7,GT7,GY7,HD7,HI7,HN7,HS7,HX7,IC7,IH7)&gt;0,$IE7-SUM(EG7,EL7,EQ7,EV7,FA7,FF7,FK7,FP7,FU7,FZ7,GE7,GJ7,GO7,GT7,GY7,HD7,HI7,HN7,HS7,HX7,IC7,IH7),"---")</f>
        <v>2106</v>
      </c>
      <c r="DZ7" s="65">
        <v>87</v>
      </c>
      <c r="EA7" s="65">
        <v>77</v>
      </c>
      <c r="EB7" s="65">
        <v>10</v>
      </c>
      <c r="EC7" s="94">
        <f>(EB7/DT7)*100</f>
        <v>0.47709923664122139</v>
      </c>
      <c r="ED7" s="93">
        <f>IF($IE7-SUM(EL7,EQ7,EV7,FA7,FF7,FK7,FP7,FU7,FZ7,GE7,GJ7,GO7,GT7,GY7,HD7,HI7,HN7,HS7,HX7,IC7,IH7)&gt;0,$IE7-SUM(EL7,EQ7,EV7,FA7,FF7,FK7,FP7,FU7,FZ7,GE7,GJ7,GO7,GT7,GY7,HD7,HI7,HN7,HS7,HX7,IC7,IH7),"---")</f>
        <v>2105</v>
      </c>
      <c r="EE7" s="65">
        <v>103</v>
      </c>
      <c r="EF7" s="65">
        <v>104</v>
      </c>
      <c r="EG7" s="65">
        <v>-1</v>
      </c>
      <c r="EH7" s="94">
        <f>(EG7/DY7)*100</f>
        <v>-4.7483380816714153E-2</v>
      </c>
      <c r="EI7" s="93">
        <f>IF($IE7-SUM(EQ7,EV7,FA7,FF7,FK7,FP7,FU7,FZ7,GE7,GJ7,GO7,GT7,GY7,HD7,HI7,HN7,HS7,HX7,IC7,IH7)&gt;0,$IE7-SUM(EQ7,EV7,FA7,FF7,FK7,FP7,FU7,FZ7,GE7,GJ7,GO7,GT7,GY7,HD7,HI7,HN7,HS7,HX7,IC7,IH7),"---")</f>
        <v>2142</v>
      </c>
      <c r="EJ7" s="65">
        <v>130</v>
      </c>
      <c r="EK7" s="65">
        <v>93</v>
      </c>
      <c r="EL7" s="65">
        <v>37</v>
      </c>
      <c r="EM7" s="94">
        <f>(EL7/ED7)*100</f>
        <v>1.7577197149643706</v>
      </c>
      <c r="EN7" s="93">
        <f>IF($IE7-SUM(EV7,FA7,FF7,FK7,FP7,FU7,FZ7,GE7,GJ7,GO7,GT7,GY7,HD7,HI7,HN7,HS7,HX7,IC7,IH7)&gt;0,$IE7-SUM(EV7,FA7,FF7,FK7,FP7,FU7,FZ7,GE7,GJ7,GO7,GT7,GY7,HD7,HI7,HN7,HS7,HX7,IC7,IH7),"---")</f>
        <v>2181</v>
      </c>
      <c r="EO7" s="65">
        <v>111</v>
      </c>
      <c r="EP7" s="65">
        <v>72</v>
      </c>
      <c r="EQ7" s="65">
        <v>39</v>
      </c>
      <c r="ER7" s="94">
        <f>(EQ7/EI7)*100</f>
        <v>1.8207282913165268</v>
      </c>
      <c r="ES7" s="93">
        <f>IF($IE7-SUM(FA7,FF7,FK7,FP7,FU7,FZ7,GE7,GJ7,GO7,GT7,GY7,HD7,HI7,HN7,HS7,HX7,IC7,IH7)&gt;0,$IE7-SUM(FA7,FF7,FK7,FP7,FU7,FZ7,GE7,GJ7,GO7,GT7,GY7,HD7,HI7,HN7,HS7,HX7,IC7,IH7),"---")</f>
        <v>2190</v>
      </c>
      <c r="ET7" s="65">
        <v>111</v>
      </c>
      <c r="EU7" s="65">
        <v>102</v>
      </c>
      <c r="EV7" s="65">
        <v>9</v>
      </c>
      <c r="EW7" s="94">
        <f>(EV7/EN7)*100</f>
        <v>0.41265474552957354</v>
      </c>
      <c r="EX7" s="93">
        <f>IF($IE7-SUM(FF7,FK7,FP7,FU7,FZ7,GE7,GJ7,GO7,GT7,GY7,HD7,HI7,HN7,HS7,HX7,IC7,IH7)&gt;0,$IE7-SUM(FF7,FK7,FP7,FU7,FZ7,GE7,GJ7,GO7,GT7,GY7,HD7,HI7,HN7,HS7,HX7,IC7,IH7),"---")</f>
        <v>2210</v>
      </c>
      <c r="EY7" s="65">
        <v>107</v>
      </c>
      <c r="EZ7" s="65">
        <v>87</v>
      </c>
      <c r="FA7" s="65">
        <v>20</v>
      </c>
      <c r="FB7" s="94">
        <f>(FA7/ES7)*100</f>
        <v>0.91324200913242004</v>
      </c>
      <c r="FC7" s="93">
        <f>IF($IE7-SUM(FK7,FP7,FU7,FZ7,GE7,GJ7,GO7,GT7,GY7,HD7,HI7,HN7,HS7,HX7,IC7,IH7)&gt;0,$IE7-SUM(FK7,FP7,FU7,FZ7,GE7,GJ7,GO7,GT7,GY7,HD7,HI7,HN7,HS7,HX7,IC7,IH7),"---")</f>
        <v>2240</v>
      </c>
      <c r="FD7" s="65">
        <v>138</v>
      </c>
      <c r="FE7" s="65">
        <v>108</v>
      </c>
      <c r="FF7" s="65">
        <v>30</v>
      </c>
      <c r="FG7" s="94">
        <f>(FF7/EX7)*100</f>
        <v>1.3574660633484164</v>
      </c>
      <c r="FH7" s="93">
        <f>IF($IE7-SUM(FP7,FU7,FZ7,GE7,GJ7,GO7,GT7,GY7,HD7,HI7,HN7,HS7,HX7,IC7,IH7)&gt;0,$IE7-SUM(FP7,FU7,FZ7,GE7,GJ7,GO7,GT7,GY7,HD7,HI7,HN7,HS7,HX7,IC7,IH7),"---")</f>
        <v>2237</v>
      </c>
      <c r="FI7" s="65">
        <v>104</v>
      </c>
      <c r="FJ7" s="65">
        <v>107</v>
      </c>
      <c r="FK7" s="65">
        <v>-3</v>
      </c>
      <c r="FL7" s="94">
        <f>(FK7/FC7)*100</f>
        <v>-0.13392857142857142</v>
      </c>
      <c r="FM7" s="93">
        <f>IF($IE7-SUM(FU7,FZ7,GE7,GJ7,GO7,GT7,GY7,HD7,HI7,HN7,HS7,HX7,IC7,IH7)&gt;0,$IE7-SUM(FU7,FZ7,GE7,GJ7,GO7,GT7,GY7,HD7,HI7,HN7,HS7,HX7,IC7,IH7),"---")</f>
        <v>2248</v>
      </c>
      <c r="FN7" s="65">
        <v>92</v>
      </c>
      <c r="FO7" s="65">
        <v>81</v>
      </c>
      <c r="FP7" s="65">
        <v>11</v>
      </c>
      <c r="FQ7" s="94">
        <f>(FP7/FH7)*100</f>
        <v>0.49172999552972735</v>
      </c>
      <c r="FR7" s="93">
        <f>IF($IE7-SUM(FZ7,GE7,GJ7,GO7,GT7,GY7,HD7,HI7,HN7,HS7,HX7,IC7,IH7)&gt;0,$IE7-SUM(FZ7,GE7,GJ7,GO7,GT7,GY7,HD7,HI7,HN7,HS7,HX7,IC7,IH7),"---")</f>
        <v>2252</v>
      </c>
      <c r="FS7" s="65">
        <v>78</v>
      </c>
      <c r="FT7" s="65">
        <v>74</v>
      </c>
      <c r="FU7" s="65">
        <v>4</v>
      </c>
      <c r="FV7" s="94">
        <f>(FU7/FM7)*100</f>
        <v>0.1779359430604982</v>
      </c>
      <c r="FW7" s="93">
        <f>IF($IE7-SUM(GE7,GJ7,GO7,GT7,GY7,HD7,HI7,HN7,HS7,HX7,IC7,IH7)&gt;0,$IE7-SUM(GE7,GJ7,GO7,GT7,GY7,HD7,HI7,HN7,HS7,HX7,IC7,IH7),"---")</f>
        <v>2268</v>
      </c>
      <c r="FX7" s="65">
        <v>75</v>
      </c>
      <c r="FY7" s="65">
        <v>59</v>
      </c>
      <c r="FZ7" s="65">
        <v>16</v>
      </c>
      <c r="GA7" s="94">
        <f>(FZ7/FR7)*100</f>
        <v>0.71047957371225579</v>
      </c>
      <c r="GB7" s="93">
        <f>IF($IE7-SUM(GJ7,GO7,GT7,GY7,HD7,HI7,HN7,HS7,HX7,IC7,IH7)&gt;0,$IE7-SUM(GJ7,GO7,GT7,GY7,HD7,HI7,HN7,HS7,HX7,IC7,IH7),"---")</f>
        <v>2270</v>
      </c>
      <c r="GC7" s="65">
        <v>109</v>
      </c>
      <c r="GD7" s="65">
        <v>107</v>
      </c>
      <c r="GE7" s="65">
        <v>2</v>
      </c>
      <c r="GF7" s="94">
        <f>(GE7/FW7)*100</f>
        <v>8.8183421516754845E-2</v>
      </c>
      <c r="GG7" s="93">
        <f>IF($IE7-SUM(GO7,GT7,GY7,HD7,HI7,HN7,HS7,HX7,IC7,IH7)&gt;0,$IE7-SUM(GO7,GT7,GY7,HD7,HI7,HN7,HS7,HX7,IC7,IH7),"---")</f>
        <v>2276</v>
      </c>
      <c r="GH7" s="65">
        <v>111</v>
      </c>
      <c r="GI7" s="65">
        <v>105</v>
      </c>
      <c r="GJ7" s="65">
        <v>6</v>
      </c>
      <c r="GK7" s="94">
        <f>(GJ7/GB7)*100</f>
        <v>0.26431718061674009</v>
      </c>
      <c r="GL7" s="93">
        <f>IF($IE7-SUM(GT7,GY7,HD7,HI7,HN7,HS7,HX7,IC7,IH7)&gt;0,$IE7-SUM(GT7,GY7,HD7,HI7,HN7,HS7,HX7,IC7,IH7),"---")</f>
        <v>2254</v>
      </c>
      <c r="GM7" s="65">
        <v>101</v>
      </c>
      <c r="GN7" s="65">
        <v>123</v>
      </c>
      <c r="GO7" s="65">
        <v>-22</v>
      </c>
      <c r="GP7" s="94">
        <f>(GO7/GG7)*100</f>
        <v>-0.96660808435852363</v>
      </c>
      <c r="GQ7" s="93">
        <f>IF($IE7-SUM(GY7,HD7,HI7,HN7,HS7,HX7,IC7,IH7)&gt;0,$IE7-SUM(GY7,HD7,HI7,HN7,HS7,HX7,IC7,IH7),"---")</f>
        <v>2246</v>
      </c>
      <c r="GR7" s="59">
        <v>87</v>
      </c>
      <c r="GS7" s="59">
        <v>95</v>
      </c>
      <c r="GT7" s="59">
        <v>-8</v>
      </c>
      <c r="GU7" s="94">
        <f>(GT7/GL7)*100</f>
        <v>-0.35492457852706299</v>
      </c>
      <c r="GV7" s="93">
        <f>IF($IE7-SUM(HD7,HI7,HN7,HS7,HX7,IC7,IH7)&gt;0,$IE7-SUM(HD7,HI7,HN7,HS7,HX7,IC7,IH7),"---")</f>
        <v>2247</v>
      </c>
      <c r="GW7" s="59">
        <v>87</v>
      </c>
      <c r="GX7" s="59">
        <v>86</v>
      </c>
      <c r="GY7" s="59">
        <v>1</v>
      </c>
      <c r="GZ7" s="94">
        <f>(GY7/GQ7)*100</f>
        <v>4.4523597506678537E-2</v>
      </c>
      <c r="HA7" s="93">
        <f>IF($IE7-SUM(HI7,HN7,HS7,HX7,IC7,IH7)&gt;0,$IE7-SUM(HI7,HN7,HS7,HX7,IC7,IH7),"---")</f>
        <v>2208</v>
      </c>
      <c r="HB7" s="59">
        <v>69</v>
      </c>
      <c r="HC7" s="59">
        <v>108</v>
      </c>
      <c r="HD7" s="59">
        <v>-39</v>
      </c>
      <c r="HE7" s="94">
        <f>(HD7/GV7)*100</f>
        <v>-1.7356475300400533</v>
      </c>
      <c r="HF7" s="93">
        <f>IF($IE7-SUM(HN7,HS7,HX7,IC7,IH7)&gt;0,$IE7-SUM(HN7,HS7,HX7,IC7,IH7),"---")</f>
        <v>2260</v>
      </c>
      <c r="HG7" s="59">
        <v>124</v>
      </c>
      <c r="HH7" s="59">
        <v>72</v>
      </c>
      <c r="HI7" s="59">
        <v>52</v>
      </c>
      <c r="HJ7" s="94">
        <f>(HI7/HA7)*100</f>
        <v>2.3550724637681162</v>
      </c>
      <c r="HK7" s="93">
        <f>IF($IE7-SUM(HS7,HX7,IC7,IH7)&gt;0,$IE7-SUM(HS7,HX7,IC7,IH7),"---")</f>
        <v>2266</v>
      </c>
      <c r="HL7" s="59">
        <v>122</v>
      </c>
      <c r="HM7" s="59">
        <v>116</v>
      </c>
      <c r="HN7" s="59">
        <v>6</v>
      </c>
      <c r="HO7" s="94">
        <f>(HN7/HF7)*100</f>
        <v>0.26548672566371678</v>
      </c>
      <c r="HP7" s="93">
        <f>IF($IE7-SUM(HX7,IC7,IH7)&gt;0,$IE7-SUM(HX7,IC7,IH7),"---")</f>
        <v>2298</v>
      </c>
      <c r="HQ7" s="59">
        <v>118</v>
      </c>
      <c r="HR7" s="59">
        <v>86</v>
      </c>
      <c r="HS7" s="59">
        <v>32</v>
      </c>
      <c r="HT7" s="94">
        <f>(HS7/HK7)*100</f>
        <v>1.4121800529567521</v>
      </c>
      <c r="HU7" s="93">
        <f>IF($IE7-SUM(IC7,IH7)&gt;0,$IE7-SUM(IC7,IH7),"---")</f>
        <v>2313</v>
      </c>
      <c r="HV7" s="59">
        <v>95</v>
      </c>
      <c r="HW7" s="59">
        <v>80</v>
      </c>
      <c r="HX7" s="59">
        <v>15</v>
      </c>
      <c r="HY7" s="94">
        <f>(HX7/HP7)*100</f>
        <v>0.65274151436031325</v>
      </c>
      <c r="HZ7" s="93">
        <f>IF($IE7-SUM(IH7)&gt;0,$IE7-SUM(IH7),"---")</f>
        <v>2334</v>
      </c>
      <c r="IA7" s="59">
        <v>96</v>
      </c>
      <c r="IB7" s="59">
        <v>75</v>
      </c>
      <c r="IC7" s="59">
        <v>21</v>
      </c>
      <c r="ID7" s="94">
        <f>(IC7/HU7)*100</f>
        <v>0.9079118028534372</v>
      </c>
      <c r="IE7" s="93">
        <v>2293</v>
      </c>
      <c r="IF7" s="59">
        <v>56</v>
      </c>
      <c r="IG7" s="59">
        <v>97</v>
      </c>
      <c r="IH7" s="59">
        <v>-41</v>
      </c>
      <c r="II7" s="94">
        <f>(IH7/HZ7)*100</f>
        <v>-1.7566409597257926</v>
      </c>
      <c r="IJ7" s="93">
        <f>IE7+IM7</f>
        <v>2298</v>
      </c>
      <c r="IK7" s="59">
        <v>113</v>
      </c>
      <c r="IL7" s="59">
        <v>108</v>
      </c>
      <c r="IM7" s="59">
        <v>5</v>
      </c>
      <c r="IN7" s="94">
        <f>(IM7/IE7)*100</f>
        <v>0.21805494984736151</v>
      </c>
      <c r="IO7" s="93">
        <f>IJ7+IR7</f>
        <v>2290</v>
      </c>
      <c r="IP7" s="59">
        <v>89</v>
      </c>
      <c r="IQ7" s="59">
        <v>97</v>
      </c>
      <c r="IR7" s="59">
        <v>-8</v>
      </c>
      <c r="IS7" s="94">
        <f>(IR7/IJ7)*100</f>
        <v>-0.34812880765883375</v>
      </c>
      <c r="IT7" s="93">
        <f>IO7+IW7</f>
        <v>2286</v>
      </c>
      <c r="IU7" s="59">
        <v>103</v>
      </c>
      <c r="IV7" s="59">
        <v>107</v>
      </c>
      <c r="IW7" s="59">
        <v>-4</v>
      </c>
      <c r="IX7" s="94">
        <f>(IW7/IO7)*100</f>
        <v>-0.17467248908296942</v>
      </c>
      <c r="IY7" s="93">
        <f>IT7+JB7</f>
        <v>2293</v>
      </c>
      <c r="IZ7" s="59">
        <v>98</v>
      </c>
      <c r="JA7" s="59">
        <v>91</v>
      </c>
      <c r="JB7" s="59">
        <v>7</v>
      </c>
      <c r="JC7" s="94">
        <f>(JB7/IT7)*100</f>
        <v>0.30621172353455817</v>
      </c>
      <c r="JD7" s="93">
        <f>IY7+JG7</f>
        <v>2281</v>
      </c>
      <c r="JE7" s="59">
        <v>85</v>
      </c>
      <c r="JF7" s="59">
        <v>97</v>
      </c>
      <c r="JG7" s="59">
        <v>-12</v>
      </c>
      <c r="JH7" s="94">
        <f>(JG7/IY7)*100</f>
        <v>-0.52333187963366767</v>
      </c>
      <c r="JI7" s="93">
        <f>JD7+JL7</f>
        <v>2298</v>
      </c>
      <c r="JJ7" s="59">
        <v>91</v>
      </c>
      <c r="JK7" s="59">
        <v>74</v>
      </c>
      <c r="JL7" s="59">
        <v>17</v>
      </c>
      <c r="JM7" s="94">
        <f>(JL7/JD7)*100</f>
        <v>0.74528715475668561</v>
      </c>
      <c r="JN7" s="93">
        <f>JI7+JQ7</f>
        <v>2319</v>
      </c>
      <c r="JO7" s="59">
        <v>106</v>
      </c>
      <c r="JP7" s="59">
        <v>85</v>
      </c>
      <c r="JQ7" s="59">
        <v>21</v>
      </c>
      <c r="JR7" s="94">
        <f>(JQ7/JI7)*100</f>
        <v>0.91383812010443866</v>
      </c>
      <c r="JS7" s="93">
        <f>JN7+JV7</f>
        <v>2311</v>
      </c>
      <c r="JT7" s="59">
        <v>105</v>
      </c>
      <c r="JU7" s="59">
        <v>113</v>
      </c>
      <c r="JV7" s="59">
        <v>-8</v>
      </c>
      <c r="JW7" s="94">
        <f>(JV7/JN7)*100</f>
        <v>-0.34497628288055199</v>
      </c>
      <c r="JX7" s="93">
        <f>JS7+KA7</f>
        <v>2343</v>
      </c>
      <c r="JY7" s="59">
        <v>118</v>
      </c>
      <c r="JZ7" s="59">
        <v>86</v>
      </c>
      <c r="KA7" s="59">
        <v>32</v>
      </c>
      <c r="KB7" s="94">
        <f>(KA7/JS7)*100</f>
        <v>1.3846819558632626</v>
      </c>
      <c r="KC7" s="93">
        <f>JX7+KF7</f>
        <v>2355</v>
      </c>
      <c r="KD7" s="59">
        <v>102</v>
      </c>
      <c r="KE7" s="59">
        <v>90</v>
      </c>
      <c r="KF7" s="59">
        <v>12</v>
      </c>
      <c r="KG7" s="94">
        <f>(KF7/JX7)*100</f>
        <v>0.51216389244558258</v>
      </c>
      <c r="KH7" s="93">
        <f>KC7+KK7</f>
        <v>2364</v>
      </c>
      <c r="KI7" s="59">
        <v>91</v>
      </c>
      <c r="KJ7" s="59">
        <v>82</v>
      </c>
      <c r="KK7" s="59">
        <v>9</v>
      </c>
      <c r="KL7" s="94">
        <f>(KK7/KC7)*100</f>
        <v>0.38216560509554143</v>
      </c>
      <c r="KM7" s="93">
        <f>KH7+KP7</f>
        <v>2330</v>
      </c>
      <c r="KN7" s="59">
        <v>63</v>
      </c>
      <c r="KO7" s="59">
        <v>97</v>
      </c>
      <c r="KP7" s="59">
        <v>-34</v>
      </c>
      <c r="KQ7" s="94">
        <f>(KP7/KH7)*100</f>
        <v>-1.4382402707275803</v>
      </c>
      <c r="KR7" s="93">
        <f>KM7+KU7</f>
        <v>2342</v>
      </c>
      <c r="KS7" s="59">
        <v>124</v>
      </c>
      <c r="KT7" s="59">
        <v>112</v>
      </c>
      <c r="KU7" s="59">
        <v>12</v>
      </c>
      <c r="KV7" s="94">
        <f>(KU7/KM7)*100</f>
        <v>0.51502145922746778</v>
      </c>
      <c r="KW7" s="93">
        <f>KR7+KZ7</f>
        <v>2329</v>
      </c>
      <c r="KX7" s="59">
        <v>98</v>
      </c>
      <c r="KY7" s="59">
        <v>111</v>
      </c>
      <c r="KZ7" s="59">
        <v>-13</v>
      </c>
      <c r="LA7" s="94">
        <f>(KZ7/KR7)*100</f>
        <v>-0.5550811272416738</v>
      </c>
      <c r="LB7" s="93">
        <f>KW7+LE7</f>
        <v>2319</v>
      </c>
      <c r="LC7" s="59">
        <v>113</v>
      </c>
      <c r="LD7" s="59">
        <v>123</v>
      </c>
      <c r="LE7" s="59">
        <v>-10</v>
      </c>
      <c r="LF7" s="94">
        <f>(LE7/KW7)*100</f>
        <v>-0.42936882782310004</v>
      </c>
      <c r="LG7" s="93">
        <f>LB7+LJ7</f>
        <v>2298</v>
      </c>
      <c r="LH7" s="59">
        <v>100</v>
      </c>
      <c r="LI7" s="59">
        <v>121</v>
      </c>
      <c r="LJ7" s="59">
        <v>-21</v>
      </c>
      <c r="LK7" s="94">
        <f>(LJ7/LB7)*100</f>
        <v>-0.90556274256144886</v>
      </c>
      <c r="LL7" s="93">
        <f>LG7+LO7</f>
        <v>2298</v>
      </c>
      <c r="LM7" s="59">
        <v>119</v>
      </c>
      <c r="LN7" s="59">
        <v>119</v>
      </c>
      <c r="LO7" s="59">
        <v>0</v>
      </c>
      <c r="LP7" s="94">
        <f>(LO7/LG7)*100</f>
        <v>0</v>
      </c>
      <c r="LQ7" s="93">
        <f>LL7+LT7</f>
        <v>2314</v>
      </c>
      <c r="LR7" s="59">
        <v>117</v>
      </c>
      <c r="LS7" s="59">
        <v>101</v>
      </c>
      <c r="LT7" s="59">
        <v>16</v>
      </c>
      <c r="LU7" s="94">
        <f>(LT7/LL7)*100</f>
        <v>0.6962576153176675</v>
      </c>
      <c r="LV7" s="93">
        <f>LQ7+LY7</f>
        <v>2335</v>
      </c>
      <c r="LW7" s="59">
        <v>122</v>
      </c>
      <c r="LX7" s="59">
        <v>101</v>
      </c>
      <c r="LY7" s="59">
        <v>21</v>
      </c>
      <c r="LZ7" s="94">
        <f>(LY7/LQ7)*100</f>
        <v>0.90751944684528962</v>
      </c>
      <c r="MA7" s="93">
        <f t="shared" ref="MA7:MA10" si="0">LV7+MD7</f>
        <v>2339</v>
      </c>
      <c r="MB7" s="59">
        <v>99</v>
      </c>
      <c r="MC7" s="59">
        <v>95</v>
      </c>
      <c r="MD7" s="59">
        <v>4</v>
      </c>
      <c r="ME7" s="94">
        <f t="shared" ref="ME7:ME10" si="1">(MD7/LV7)*100</f>
        <v>0.17130620985010706</v>
      </c>
      <c r="MF7" s="93">
        <f t="shared" ref="MF7:MF10" si="2">MA7+MI7</f>
        <v>2361</v>
      </c>
      <c r="MG7" s="59">
        <v>109</v>
      </c>
      <c r="MH7" s="59">
        <v>87</v>
      </c>
      <c r="MI7" s="59">
        <v>22</v>
      </c>
      <c r="MJ7" s="94">
        <f t="shared" ref="MJ7:MJ10" si="3">(MI7/MA7)*100</f>
        <v>0.94057289439931602</v>
      </c>
      <c r="MK7" s="93">
        <f t="shared" ref="MK7:MK10" si="4">MF7+MN7</f>
        <v>2391</v>
      </c>
      <c r="ML7" s="59">
        <v>132</v>
      </c>
      <c r="MM7" s="59">
        <v>102</v>
      </c>
      <c r="MN7" s="59">
        <v>30</v>
      </c>
      <c r="MO7" s="94">
        <f t="shared" ref="MO7:MO10" si="5">(MN7/MF7)*100</f>
        <v>1.2706480304955527</v>
      </c>
      <c r="MP7" s="93">
        <f t="shared" ref="MP7:MP10" si="6">MK7+MS7</f>
        <v>2383</v>
      </c>
      <c r="MQ7" s="59">
        <v>96</v>
      </c>
      <c r="MR7" s="59">
        <v>104</v>
      </c>
      <c r="MS7" s="59">
        <v>-8</v>
      </c>
      <c r="MT7" s="94">
        <f t="shared" ref="MT7:MT10" si="7">(MS7/MK7)*100</f>
        <v>-0.33458803847762442</v>
      </c>
      <c r="MU7" s="93">
        <f t="shared" ref="MU7:MU10" si="8">MP7+MX7</f>
        <v>2390</v>
      </c>
      <c r="MV7" s="59">
        <v>89</v>
      </c>
      <c r="MW7" s="59">
        <v>82</v>
      </c>
      <c r="MX7" s="59">
        <v>7</v>
      </c>
      <c r="MY7" s="94">
        <v>0.29033595323562622</v>
      </c>
      <c r="MZ7" s="93">
        <f t="shared" ref="MZ7:MZ10" si="9">MU7+NC7</f>
        <v>2412</v>
      </c>
      <c r="NA7" s="59">
        <v>109</v>
      </c>
      <c r="NB7" s="59">
        <v>87</v>
      </c>
      <c r="NC7" s="59">
        <v>22</v>
      </c>
      <c r="ND7" s="108">
        <v>0.91021925210952759</v>
      </c>
      <c r="NE7" s="110">
        <f t="shared" ref="NE7:NE10" si="10">NH7+MZ7</f>
        <v>2406</v>
      </c>
      <c r="NF7" s="110">
        <v>112</v>
      </c>
      <c r="NG7" s="110">
        <v>118</v>
      </c>
      <c r="NH7" s="110">
        <v>-6</v>
      </c>
      <c r="NI7" s="108">
        <f t="shared" ref="NI7:NI10" si="11">(NH7/NE7)*100</f>
        <v>-0.24937655860349126</v>
      </c>
      <c r="NJ7" s="110">
        <f t="shared" ref="NJ7:NJ10" si="12">NM7+NE7</f>
        <v>2404</v>
      </c>
      <c r="NK7" s="93">
        <v>120</v>
      </c>
      <c r="NL7" s="93">
        <v>122</v>
      </c>
      <c r="NM7" s="93">
        <v>-2</v>
      </c>
      <c r="NN7" s="108">
        <f t="shared" ref="NN7:NN10" si="13">(NM7/NJ7)*100</f>
        <v>-8.3194675540765387E-2</v>
      </c>
      <c r="NO7" s="93">
        <f>SUM(NA7,NF7,NK7)</f>
        <v>341</v>
      </c>
      <c r="NP7" s="93">
        <f t="shared" ref="NP7:NQ10" si="14">SUM(NB7,NG7,NL7)</f>
        <v>327</v>
      </c>
      <c r="NQ7" s="93">
        <f t="shared" si="14"/>
        <v>14</v>
      </c>
      <c r="NR7" s="94">
        <f>(NQ7/MU7)*100</f>
        <v>0.58577405857740583</v>
      </c>
      <c r="NS7" s="59">
        <f>SUM(NF7,NA7,MV7,MQ7,ML7,MG7,MB7,LW7,LR7,LM7,LH7,NK7)</f>
        <v>1324</v>
      </c>
      <c r="NT7" s="59">
        <f t="shared" ref="NT7:NU10" si="15">SUM(NG7,NB7,MW7,MR7,MM7,MH7,MC7,LX7,LS7,LN7,LI7,NL7)</f>
        <v>1239</v>
      </c>
      <c r="NU7" s="59">
        <f t="shared" si="15"/>
        <v>85</v>
      </c>
      <c r="NV7" s="94">
        <f>NU7/(NJ7-NU7)*100</f>
        <v>3.6653730056058644</v>
      </c>
      <c r="NW7" s="12"/>
    </row>
    <row r="8" spans="1:387" s="5" customFormat="1" ht="18" customHeight="1">
      <c r="A8" s="12"/>
      <c r="B8" s="62" t="s">
        <v>45</v>
      </c>
      <c r="C8" s="63">
        <v>110002</v>
      </c>
      <c r="D8" s="64" t="s">
        <v>47</v>
      </c>
      <c r="E8" s="93">
        <f t="shared" ref="E8:E10" si="16">IF($IE8-SUM(L8,Q8,V8,AA8,AF8,AK8,AP8,AU8,AZ8,BE8,BJ8,BO8,BT8,BY8,CD8,CI8,CN8,CS8,CX8,DC8,DH8,DM8,DR8,DW8,EB8,EG8,EL8,EQ8,EV8,FA8,FF8,FK8,FP8,FU8,FZ8,GE8,GJ8,GO8,GT8,GY8,HD8,HI8,HN8,HS8,HX8,IC8,IH8)&gt;0,$IE8-SUM(L8,Q8,V8,AA8,AF8,AK8,AP8,AU8,AZ8,BE8,BJ8,BO8,BT8,BY8,CD8,CI8,CN8,CS8,CX8,DC8,DH8,DM8,DR8,DW8,EB8,EG8,EL8,EQ8,EV8,FA8,FF8,FK8,FP8,FU8,FZ8,GE8,GJ8,GO8,GT8,GY8,HD8,HI8,HN8,HS8,HX8,IC8,IH8),"---")</f>
        <v>16189</v>
      </c>
      <c r="F8" s="63">
        <v>576</v>
      </c>
      <c r="G8" s="63">
        <v>631</v>
      </c>
      <c r="H8" s="63">
        <v>-55</v>
      </c>
      <c r="I8" s="93">
        <f t="shared" ref="I8:I10" si="17">IF($IE8-SUM(Q8,V8,AA8,AF8,AK8,AP8,AU8,AZ8,BE8,BJ8,BO8,BT8,BY8,CD8,CI8,CN8,CS8,CX8,DC8,DH8,DM8,DR8,DW8,EB8,EG8,EL8,EQ8,EV8,FA8,FF8,FK8,FP8,FU8,FZ8,GE8,GJ8,GO8,GT8,GY8,HD8,HI8,HN8,HS8,HX8,IC8,IH8)&gt;0,$IE8-SUM(Q8,V8,AA8,AF8,AK8,AP8,AU8,AZ8,BE8,BJ8,BO8,BT8,BY8,CD8,CI8,CN8,CS8,CX8,DC8,DH8,DM8,DR8,DW8,EB8,EG8,EL8,EQ8,EV8,FA8,FF8,FK8,FP8,FU8,FZ8,GE8,GJ8,GO8,GT8,GY8,HD8,HI8,HN8,HS8,HX8,IC8,IH8),"---")</f>
        <v>16240</v>
      </c>
      <c r="J8" s="63">
        <v>663</v>
      </c>
      <c r="K8" s="63">
        <v>612</v>
      </c>
      <c r="L8" s="63">
        <v>51</v>
      </c>
      <c r="M8" s="94">
        <f t="shared" ref="M8:M10" si="18">(L8/E8)*100</f>
        <v>0.31502872320711595</v>
      </c>
      <c r="N8" s="93">
        <f t="shared" ref="N8:N10" si="19">IF($IE8-SUM(V8,AA8,AF8,AK8,AP8,AU8,AZ8,BE8,BJ8,BO8,BT8,BY8,CD8,CI8,CN8,CS8,CX8,DC8,DH8,DM8,DR8,DW8,EB8,EG8,EL8,EQ8,EV8,FA8,FF8,FK8,FP8,FU8,FZ8,GE8,GJ8,GO8,GT8,GY8,HD8,HI8,HN8,HS8,HX8,IC8,IH8)&gt;0,$IE8-SUM(V8,AA8,AF8,AK8,AP8,AU8,AZ8,BE8,BJ8,BO8,BT8,BY8,CD8,CI8,CN8,CS8,CX8,DC8,DH8,DM8,DR8,DW8,EB8,EG8,EL8,EQ8,EV8,FA8,FF8,FK8,FP8,FU8,FZ8,GE8,GJ8,GO8,GT8,GY8,HD8,HI8,HN8,HS8,HX8,IC8,IH8),"---")</f>
        <v>16187</v>
      </c>
      <c r="O8" s="65">
        <v>626</v>
      </c>
      <c r="P8" s="65">
        <v>679</v>
      </c>
      <c r="Q8" s="65">
        <v>-53</v>
      </c>
      <c r="R8" s="94">
        <f t="shared" ref="R8:R10" si="20">(Q8/I8)*100</f>
        <v>-0.32635467980295563</v>
      </c>
      <c r="S8" s="93">
        <f t="shared" ref="S8:S10" si="21">IF($IE8-SUM(AA8,AF8,AK8,AP8,AU8,AZ8,BE8,BJ8,BO8,BT8,BY8,CD8,CI8,CN8,CS8,CX8,DC8,DH8,DM8,DR8,DW8,EB8,EG8,EL8,EQ8,EV8,FA8,FF8,FK8,FP8,FU8,FZ8,GE8,GJ8,GO8,GT8,GY8,HD8,HI8,HN8,HS8,HX8,IC8,IH8)&gt;0,$IE8-SUM(AA8,AF8,AK8,AP8,AU8,AZ8,BE8,BJ8,BO8,BT8,BY8,CD8,CI8,CN8,CS8,CX8,DC8,DH8,DM8,DR8,DW8,EB8,EG8,EL8,EQ8,EV8,FA8,FF8,FK8,FP8,FU8,FZ8,GE8,GJ8,GO8,GT8,GY8,HD8,HI8,HN8,HS8,HX8,IC8,IH8),"---")</f>
        <v>15718</v>
      </c>
      <c r="T8" s="65">
        <v>262</v>
      </c>
      <c r="U8" s="65">
        <v>731</v>
      </c>
      <c r="V8" s="65">
        <v>-469</v>
      </c>
      <c r="W8" s="94">
        <f t="shared" ref="W8:W10" si="22">(V8/N8)*100</f>
        <v>-2.8973867918700194</v>
      </c>
      <c r="X8" s="93">
        <f t="shared" ref="X8:X10" si="23">IF($IE8-SUM(AF8,AK8,AP8,AU8,AZ8,BE8,BJ8,BO8,BT8,BY8,CD8,CI8,CN8,CS8,CX8,DC8,DH8,DM8,DR8,DW8,EB8,EG8,EL8,EQ8,EV8,FA8,FF8,FK8,FP8,FU8,FZ8,GE8,GJ8,GO8,GT8,GY8,HD8,HI8,HN8,HS8,HX8,IC8,IH8)&gt;0,$IE8-SUM(AF8,AK8,AP8,AU8,AZ8,BE8,BJ8,BO8,BT8,BY8,CD8,CI8,CN8,CS8,CX8,DC8,DH8,DM8,DR8,DW8,EB8,EG8,EL8,EQ8,EV8,FA8,FF8,FK8,FP8,FU8,FZ8,GE8,GJ8,GO8,GT8,GY8,HD8,HI8,HN8,HS8,HX8,IC8,IH8),"---")</f>
        <v>15455</v>
      </c>
      <c r="Y8" s="65">
        <v>237</v>
      </c>
      <c r="Z8" s="65">
        <v>500</v>
      </c>
      <c r="AA8" s="65">
        <v>-263</v>
      </c>
      <c r="AB8" s="94">
        <f t="shared" ref="AB8:AB10" si="24">(AA8/S8)*100</f>
        <v>-1.6732408703397379</v>
      </c>
      <c r="AC8" s="93">
        <f t="shared" ref="AC8:AC10" si="25">IF($IE8-SUM(AK8,AP8,AU8,AZ8,BE8,BJ8,BO8,BT8,BY8,CD8,CI8,CN8,CS8,CX8,DC8,DH8,DM8,DR8,DW8,EB8,EG8,EL8,EQ8,EV8,FA8,FF8,FK8,FP8,FU8,FZ8,GE8,GJ8,GO8,GT8,GY8,HD8,HI8,HN8,HS8,HX8,IC8,IH8)&gt;0,$IE8-SUM(AK8,AP8,AU8,AZ8,BE8,BJ8,BO8,BT8,BY8,CD8,CI8,CN8,CS8,CX8,DC8,DH8,DM8,DR8,DW8,EB8,EG8,EL8,EQ8,EV8,FA8,FF8,FK8,FP8,FU8,FZ8,GE8,GJ8,GO8,GT8,GY8,HD8,HI8,HN8,HS8,HX8,IC8,IH8),"---")</f>
        <v>15448</v>
      </c>
      <c r="AD8" s="65">
        <v>398</v>
      </c>
      <c r="AE8" s="65">
        <v>405</v>
      </c>
      <c r="AF8" s="65">
        <v>-7</v>
      </c>
      <c r="AG8" s="94">
        <f t="shared" ref="AG8:AG10" si="26">(AF8/X8)*100</f>
        <v>-4.5292785506308636E-2</v>
      </c>
      <c r="AH8" s="93">
        <f t="shared" ref="AH8:AH10" si="27">IF($IE8-SUM(AP8,AU8,AZ8,BE8,BJ8,BO8,BT8,BY8,CD8,CI8,CN8,CS8,CX8,DC8,DH8,DM8,DR8,DW8,EB8,EG8,EL8,EQ8,EV8,FA8,FF8,FK8,FP8,FU8,FZ8,GE8,GJ8,GO8,GT8,GY8,HD8,HI8,HN8,HS8,HX8,IC8,IH8)&gt;0,$IE8-SUM(AP8,AU8,AZ8,BE8,BJ8,BO8,BT8,BY8,CD8,CI8,CN8,CS8,CX8,DC8,DH8,DM8,DR8,DW8,EB8,EG8,EL8,EQ8,EV8,FA8,FF8,FK8,FP8,FU8,FZ8,GE8,GJ8,GO8,GT8,GY8,HD8,HI8,HN8,HS8,HX8,IC8,IH8),"---")</f>
        <v>15456</v>
      </c>
      <c r="AI8" s="65">
        <v>430</v>
      </c>
      <c r="AJ8" s="65">
        <v>422</v>
      </c>
      <c r="AK8" s="65">
        <v>8</v>
      </c>
      <c r="AL8" s="94">
        <f t="shared" ref="AL8:AL10" si="28">(AK8/AC8)*100</f>
        <v>5.178663904712584E-2</v>
      </c>
      <c r="AM8" s="93">
        <f t="shared" ref="AM8:AM10" si="29">IF($IE8-SUM(AU8,AZ8,BE8,BJ8,BO8,BT8,BY8,CD8,CI8,CN8,CS8,CX8,DC8,DH8,DM8,DR8,DW8,EB8,EG8,EL8,EQ8,EV8,FA8,FF8,FK8,FP8,FU8,FZ8,GE8,GJ8,GO8,GT8,GY8,HD8,HI8,HN8,HS8,HX8,IC8,IH8)&gt;0,$IE8-SUM(AU8,AZ8,BE8,BJ8,BO8,BT8,BY8,CD8,CI8,CN8,CS8,CX8,DC8,DH8,DM8,DR8,DW8,EB8,EG8,EL8,EQ8,EV8,FA8,FF8,FK8,FP8,FU8,FZ8,GE8,GJ8,GO8,GT8,GY8,HD8,HI8,HN8,HS8,HX8,IC8,IH8),"---")</f>
        <v>15633</v>
      </c>
      <c r="AN8" s="65">
        <v>611</v>
      </c>
      <c r="AO8" s="65">
        <v>434</v>
      </c>
      <c r="AP8" s="65">
        <v>177</v>
      </c>
      <c r="AQ8" s="94">
        <f t="shared" ref="AQ8:AQ10" si="30">(AP8/AH8)*100</f>
        <v>1.1451863354037268</v>
      </c>
      <c r="AR8" s="93">
        <f t="shared" ref="AR8:AR10" si="31">IF($IE8-SUM(AZ8,BE8,BJ8,BO8,BT8,BY8,CD8,CI8,CN8,CS8,CX8,DC8,DH8,DM8,DR8,DW8,EB8,EG8,EL8,EQ8,EV8,FA8,FF8,FK8,FP8,FU8,FZ8,GE8,GJ8,GO8,GT8,GY8,HD8,HI8,HN8,HS8,HX8,IC8,IH8)&gt;0,$IE8-SUM(AZ8,BE8,BJ8,BO8,BT8,BY8,CD8,CI8,CN8,CS8,CX8,DC8,DH8,DM8,DR8,DW8,EB8,EG8,EL8,EQ8,EV8,FA8,FF8,FK8,FP8,FU8,FZ8,GE8,GJ8,GO8,GT8,GY8,HD8,HI8,HN8,HS8,HX8,IC8,IH8),"---")</f>
        <v>15799</v>
      </c>
      <c r="AS8" s="65">
        <v>664</v>
      </c>
      <c r="AT8" s="65">
        <v>498</v>
      </c>
      <c r="AU8" s="65">
        <v>166</v>
      </c>
      <c r="AV8" s="94">
        <f t="shared" ref="AV8:AV10" si="32">(AU8/AM8)*100</f>
        <v>1.0618563295592658</v>
      </c>
      <c r="AW8" s="93">
        <f t="shared" ref="AW8:AW10" si="33">IF($IE8-SUM(BE8,BJ8,BO8,BT8,BY8,CD8,CI8,CN8,CS8,CX8,DC8,DH8,DM8,DR8,DW8,EB8,EG8,EL8,EQ8,EV8,FA8,FF8,FK8,FP8,FU8,FZ8,GE8,GJ8,GO8,GT8,GY8,HD8,HI8,HN8,HS8,HX8,IC8,IH8)&gt;0,$IE8-SUM(BE8,BJ8,BO8,BT8,BY8,CD8,CI8,CN8,CS8,CX8,DC8,DH8,DM8,DR8,DW8,EB8,EG8,EL8,EQ8,EV8,FA8,FF8,FK8,FP8,FU8,FZ8,GE8,GJ8,GO8,GT8,GY8,HD8,HI8,HN8,HS8,HX8,IC8,IH8),"---")</f>
        <v>16013</v>
      </c>
      <c r="AX8" s="65">
        <v>754</v>
      </c>
      <c r="AY8" s="65">
        <v>540</v>
      </c>
      <c r="AZ8" s="65">
        <v>214</v>
      </c>
      <c r="BA8" s="94">
        <f t="shared" ref="BA8:BA10" si="34">(AZ8/AR8)*100</f>
        <v>1.3545161086144692</v>
      </c>
      <c r="BB8" s="93">
        <f t="shared" ref="BB8:BB10" si="35">IF($IE8-SUM(BJ8,BO8,BT8,BY8,CD8,CI8,CN8,CS8,CX8,DC8,DH8,DM8,DR8,DW8,EB8,EG8,EL8,EQ8,EV8,FA8,FF8,FK8,FP8,FU8,FZ8,GE8,GJ8,GO8,GT8,GY8,HD8,HI8,HN8,HS8,HX8,IC8,IH8)&gt;0,$IE8-SUM(BJ8,BO8,BT8,BY8,CD8,CI8,CN8,CS8,CX8,DC8,DH8,DM8,DR8,DW8,EB8,EG8,EL8,EQ8,EV8,FA8,FF8,FK8,FP8,FU8,FZ8,GE8,GJ8,GO8,GT8,GY8,HD8,HI8,HN8,HS8,HX8,IC8,IH8),"---")</f>
        <v>16171</v>
      </c>
      <c r="BC8" s="65">
        <v>620</v>
      </c>
      <c r="BD8" s="65">
        <v>462</v>
      </c>
      <c r="BE8" s="65">
        <v>158</v>
      </c>
      <c r="BF8" s="94">
        <f t="shared" ref="BF8:BF10" si="36">(BE8/AW8)*100</f>
        <v>0.98669830762505473</v>
      </c>
      <c r="BG8" s="93">
        <f t="shared" ref="BG8:BG10" si="37">IF($IE8-SUM(BO8,BT8,BY8,CD8,CI8,CN8,CS8,CX8,DC8,DH8,DM8,DR8,DW8,EB8,EG8,EL8,EQ8,EV8,FA8,FF8,FK8,FP8,FU8,FZ8,GE8,GJ8,GO8,GT8,GY8,HD8,HI8,HN8,HS8,HX8,IC8,IH8)&gt;0,$IE8-SUM(BO8,BT8,BY8,CD8,CI8,CN8,CS8,CX8,DC8,DH8,DM8,DR8,DW8,EB8,EG8,EL8,EQ8,EV8,FA8,FF8,FK8,FP8,FU8,FZ8,GE8,GJ8,GO8,GT8,GY8,HD8,HI8,HN8,HS8,HX8,IC8,IH8),"---")</f>
        <v>16251</v>
      </c>
      <c r="BH8" s="65">
        <v>471</v>
      </c>
      <c r="BI8" s="65">
        <v>391</v>
      </c>
      <c r="BJ8" s="65">
        <v>80</v>
      </c>
      <c r="BK8" s="94">
        <f t="shared" ref="BK8:BK10" si="38">(BJ8/BB8)*100</f>
        <v>0.49471275740523163</v>
      </c>
      <c r="BL8" s="93">
        <f t="shared" ref="BL8:BL10" si="39">IF($IE8-SUM(BT8,BY8,CD8,CI8,CN8,CS8,CX8,DC8,DH8,DM8,DR8,DW8,EB8,EG8,EL8,EQ8,EV8,FA8,FF8,FK8,FP8,FU8,FZ8,GE8,GJ8,GO8,GT8,GY8,HD8,HI8,HN8,HS8,HX8,IC8,IH8)&gt;0,$IE8-SUM(BT8,BY8,CD8,CI8,CN8,CS8,CX8,DC8,DH8,DM8,DR8,DW8,EB8,EG8,EL8,EQ8,EV8,FA8,FF8,FK8,FP8,FU8,FZ8,GE8,GJ8,GO8,GT8,GY8,HD8,HI8,HN8,HS8,HX8,IC8,IH8),"---")</f>
        <v>16172</v>
      </c>
      <c r="BM8" s="65">
        <v>600</v>
      </c>
      <c r="BN8" s="65">
        <v>679</v>
      </c>
      <c r="BO8" s="65">
        <v>-79</v>
      </c>
      <c r="BP8" s="94">
        <f t="shared" ref="BP8:BP10" si="40">(BO8/BG8)*100</f>
        <v>-0.48612393083502559</v>
      </c>
      <c r="BQ8" s="93">
        <f t="shared" ref="BQ8:BQ10" si="41">IF($IE8-SUM(BY8,CD8,CI8,CN8,CS8,CX8,DC8,DH8,DM8,DR8,DW8,EB8,EG8,EL8,EQ8,EV8,FA8,FF8,FK8,FP8,FU8,FZ8,GE8,GJ8,GO8,GT8,GY8,HD8,HI8,HN8,HS8,HX8,IC8,IH8)&gt;0,$IE8-SUM(BY8,CD8,CI8,CN8,CS8,CX8,DC8,DH8,DM8,DR8,DW8,EB8,EG8,EL8,EQ8,EV8,FA8,FF8,FK8,FP8,FU8,FZ8,GE8,GJ8,GO8,GT8,GY8,HD8,HI8,HN8,HS8,HX8,IC8,IH8),"---")</f>
        <v>16358</v>
      </c>
      <c r="BR8" s="65">
        <v>780</v>
      </c>
      <c r="BS8" s="65">
        <v>594</v>
      </c>
      <c r="BT8" s="65">
        <v>186</v>
      </c>
      <c r="BU8" s="94">
        <f t="shared" ref="BU8:BU10" si="42">(BT8/BL8)*100</f>
        <v>1.1501360375958447</v>
      </c>
      <c r="BV8" s="93">
        <f t="shared" ref="BV8:BV10" si="43">IF($IE8-SUM(CD8,CI8,CN8,CS8,CX8,DC8,DH8,DM8,DR8,DW8,EB8,EG8,EL8,EQ8,EV8,FA8,FF8,FK8,FP8,FU8,FZ8,GE8,GJ8,GO8,GT8,GY8,HD8,HI8,HN8,HS8,HX8,IC8,IH8)&gt;0,$IE8-SUM(CD8,CI8,CN8,CS8,CX8,DC8,DH8,DM8,DR8,DW8,EB8,EG8,EL8,EQ8,EV8,FA8,FF8,FK8,FP8,FU8,FZ8,GE8,GJ8,GO8,GT8,GY8,HD8,HI8,HN8,HS8,HX8,IC8,IH8),"---")</f>
        <v>16370</v>
      </c>
      <c r="BW8" s="65">
        <v>589</v>
      </c>
      <c r="BX8" s="65">
        <v>577</v>
      </c>
      <c r="BY8" s="65">
        <v>12</v>
      </c>
      <c r="BZ8" s="94">
        <f t="shared" ref="BZ8:BZ10" si="44">(BY8/BQ8)*100</f>
        <v>7.3358601296001955E-2</v>
      </c>
      <c r="CA8" s="93">
        <f t="shared" ref="CA8:CA10" si="45">IF($IE8-SUM(CI8,CN8,CS8,CX8,DC8,DH8,DM8,DR8,DW8,EB8,EG8,EL8,EQ8,EV8,FA8,FF8,FK8,FP8,FU8,FZ8,GE8,GJ8,GO8,GT8,GY8,HD8,HI8,HN8,HS8,HX8,IC8,IH8)&gt;0,$IE8-SUM(CI8,CN8,CS8,CX8,DC8,DH8,DM8,DR8,DW8,EB8,EG8,EL8,EQ8,EV8,FA8,FF8,FK8,FP8,FU8,FZ8,GE8,GJ8,GO8,GT8,GY8,HD8,HI8,HN8,HS8,HX8,IC8,IH8),"---")</f>
        <v>16502</v>
      </c>
      <c r="CB8" s="65">
        <v>648</v>
      </c>
      <c r="CC8" s="65">
        <v>516</v>
      </c>
      <c r="CD8" s="65">
        <v>132</v>
      </c>
      <c r="CE8" s="94">
        <f t="shared" ref="CE8:CE10" si="46">(CD8/BV8)*100</f>
        <v>0.80635308491142332</v>
      </c>
      <c r="CF8" s="93">
        <f t="shared" ref="CF8:CF10" si="47">IF($IE8-SUM(CN8,CS8,CX8,DC8,DH8,DM8,DR8,DW8,EB8,EG8,EL8,EQ8,EV8,FA8,FF8,FK8,FP8,FU8,FZ8,GE8,GJ8,GO8,GT8,GY8,HD8,HI8,HN8,HS8,HX8,IC8,IH8)&gt;0,$IE8-SUM(CN8,CS8,CX8,DC8,DH8,DM8,DR8,DW8,EB8,EG8,EL8,EQ8,EV8,FA8,FF8,FK8,FP8,FU8,FZ8,GE8,GJ8,GO8,GT8,GY8,HD8,HI8,HN8,HS8,HX8,IC8,IH8),"---")</f>
        <v>16591</v>
      </c>
      <c r="CG8" s="65">
        <v>705</v>
      </c>
      <c r="CH8" s="65">
        <v>616</v>
      </c>
      <c r="CI8" s="65">
        <v>89</v>
      </c>
      <c r="CJ8" s="94">
        <f t="shared" ref="CJ8:CJ10" si="48">(CI8/CA8)*100</f>
        <v>0.53932856623439585</v>
      </c>
      <c r="CK8" s="93">
        <f t="shared" ref="CK8:CK10" si="49">IF($IE8-SUM(CS8,CX8,DC8,DH8,DM8,DR8,DW8,EB8,EG8,EL8,EQ8,EV8,FA8,FF8,FK8,FP8,FU8,FZ8,GE8,GJ8,GO8,GT8,GY8,HD8,HI8,HN8,HS8,HX8,IC8,IH8)&gt;0,$IE8-SUM(CS8,CX8,DC8,DH8,DM8,DR8,DW8,EB8,EG8,EL8,EQ8,EV8,FA8,FF8,FK8,FP8,FU8,FZ8,GE8,GJ8,GO8,GT8,GY8,HD8,HI8,HN8,HS8,HX8,IC8,IH8),"---")</f>
        <v>16675</v>
      </c>
      <c r="CL8" s="65">
        <v>813</v>
      </c>
      <c r="CM8" s="65">
        <v>729</v>
      </c>
      <c r="CN8" s="65">
        <v>84</v>
      </c>
      <c r="CO8" s="94">
        <f t="shared" ref="CO8:CO10" si="50">(CN8/CF8)*100</f>
        <v>0.5062985956241336</v>
      </c>
      <c r="CP8" s="93">
        <f t="shared" ref="CP8:CP10" si="51">IF($IE8-SUM(CX8,DC8,DH8,DM8,DR8,DW8,EB8,EG8,EL8,EQ8,EV8,FA8,FF8,FK8,FP8,FU8,FZ8,GE8,GJ8,GO8,GT8,GY8,HD8,HI8,HN8,HS8,HX8,IC8,IH8)&gt;0,$IE8-SUM(CX8,DC8,DH8,DM8,DR8,DW8,EB8,EG8,EL8,EQ8,EV8,FA8,FF8,FK8,FP8,FU8,FZ8,GE8,GJ8,GO8,GT8,GY8,HD8,HI8,HN8,HS8,HX8,IC8,IH8),"---")</f>
        <v>16910</v>
      </c>
      <c r="CQ8" s="65">
        <v>922</v>
      </c>
      <c r="CR8" s="65">
        <v>687</v>
      </c>
      <c r="CS8" s="65">
        <v>235</v>
      </c>
      <c r="CT8" s="94">
        <f t="shared" ref="CT8:CT10" si="52">(CS8/CK8)*100</f>
        <v>1.4092953523238381</v>
      </c>
      <c r="CU8" s="93">
        <f t="shared" ref="CU8:CU10" si="53">IF($IE8-SUM(DC8,DH8,DM8,DR8,DW8,EB8,EG8,EL8,EQ8,EV8,FA8,FF8,FK8,FP8,FU8,FZ8,GE8,GJ8,GO8,GT8,GY8,HD8,HI8,HN8,HS8,HX8,IC8,IH8)&gt;0,$IE8-SUM(DC8,DH8,DM8,DR8,DW8,EB8,EG8,EL8,EQ8,EV8,FA8,FF8,FK8,FP8,FU8,FZ8,GE8,GJ8,GO8,GT8,GY8,HD8,HI8,HN8,HS8,HX8,IC8,IH8),"---")</f>
        <v>17188</v>
      </c>
      <c r="CV8" s="65">
        <v>1008</v>
      </c>
      <c r="CW8" s="65">
        <v>730</v>
      </c>
      <c r="CX8" s="65">
        <v>278</v>
      </c>
      <c r="CY8" s="94">
        <f t="shared" ref="CY8:CY10" si="54">(CX8/CP8)*100</f>
        <v>1.6439976345357776</v>
      </c>
      <c r="CZ8" s="93">
        <f t="shared" ref="CZ8:CZ10" si="55">IF($IE8-SUM(DH8,DM8,DR8,DW8,EB8,EG8,EL8,EQ8,EV8,FA8,FF8,FK8,FP8,FU8,FZ8,GE8,GJ8,GO8,GT8,GY8,HD8,HI8,HN8,HS8,HX8,IC8,IH8)&gt;0,$IE8-SUM(DH8,DM8,DR8,DW8,EB8,EG8,EL8,EQ8,EV8,FA8,FF8,FK8,FP8,FU8,FZ8,GE8,GJ8,GO8,GT8,GY8,HD8,HI8,HN8,HS8,HX8,IC8,IH8),"---")</f>
        <v>17319</v>
      </c>
      <c r="DA8" s="65">
        <v>899</v>
      </c>
      <c r="DB8" s="65">
        <v>768</v>
      </c>
      <c r="DC8" s="65">
        <v>131</v>
      </c>
      <c r="DD8" s="94">
        <f t="shared" ref="DD8:DD10" si="56">(DC8/CU8)*100</f>
        <v>0.7621596462648359</v>
      </c>
      <c r="DE8" s="93">
        <f t="shared" ref="DE8:DE10" si="57">IF($IE8-SUM(DM8,DR8,DW8,EB8,EG8,EL8,EQ8,EV8,FA8,FF8,FK8,FP8,FU8,FZ8,GE8,GJ8,GO8,GT8,GY8,HD8,HI8,HN8,HS8,HX8,IC8,IH8)&gt;0,$IE8-SUM(DM8,DR8,DW8,EB8,EG8,EL8,EQ8,EV8,FA8,FF8,FK8,FP8,FU8,FZ8,GE8,GJ8,GO8,GT8,GY8,HD8,HI8,HN8,HS8,HX8,IC8,IH8),"---")</f>
        <v>17366</v>
      </c>
      <c r="DF8" s="65">
        <v>874</v>
      </c>
      <c r="DG8" s="65">
        <v>827</v>
      </c>
      <c r="DH8" s="65">
        <v>47</v>
      </c>
      <c r="DI8" s="94">
        <f t="shared" ref="DI8:DI10" si="58">(DH8/CZ8)*100</f>
        <v>0.27137825509555979</v>
      </c>
      <c r="DJ8" s="93">
        <f t="shared" ref="DJ8:DJ10" si="59">IF($IE8-SUM(DR8,DW8,EB8,EG8,EL8,EQ8,EV8,FA8,FF8,FK8,FP8,FU8,FZ8,GE8,GJ8,GO8,GT8,GY8,HD8,HI8,HN8,HS8,HX8,IC8,IH8)&gt;0,$IE8-SUM(DR8,DW8,EB8,EG8,EL8,EQ8,EV8,FA8,FF8,FK8,FP8,FU8,FZ8,GE8,GJ8,GO8,GT8,GY8,HD8,HI8,HN8,HS8,HX8,IC8,IH8),"---")</f>
        <v>17476</v>
      </c>
      <c r="DK8" s="65">
        <v>894</v>
      </c>
      <c r="DL8" s="65">
        <v>784</v>
      </c>
      <c r="DM8" s="65">
        <v>110</v>
      </c>
      <c r="DN8" s="94">
        <f t="shared" ref="DN8:DN10" si="60">(DM8/DE8)*100</f>
        <v>0.63342162846942296</v>
      </c>
      <c r="DO8" s="93">
        <f t="shared" ref="DO8:DO10" si="61">IF($IE8-SUM(DW8,EB8,EG8,EL8,EQ8,EV8,FA8,FF8,FK8,FP8,FU8,FZ8,GE8,GJ8,GO8,GT8,GY8,HD8,HI8,HN8,HS8,HX8,IC8,IH8)&gt;0,$IE8-SUM(DW8,EB8,EG8,EL8,EQ8,EV8,FA8,FF8,FK8,FP8,FU8,FZ8,GE8,GJ8,GO8,GT8,GY8,HD8,HI8,HN8,HS8,HX8,IC8,IH8),"---")</f>
        <v>17511</v>
      </c>
      <c r="DP8" s="65">
        <v>669</v>
      </c>
      <c r="DQ8" s="65">
        <v>634</v>
      </c>
      <c r="DR8" s="65">
        <v>35</v>
      </c>
      <c r="DS8" s="94">
        <f t="shared" ref="DS8:DS10" si="62">(DR8/DJ8)*100</f>
        <v>0.20027466239414052</v>
      </c>
      <c r="DT8" s="93">
        <f t="shared" ref="DT8:DT10" si="63">IF($IE8-SUM(EB8,EG8,EL8,EQ8,EV8,FA8,FF8,FK8,FP8,FU8,FZ8,GE8,GJ8,GO8,GT8,GY8,HD8,HI8,HN8,HS8,HX8,IC8,IH8)&gt;0,$IE8-SUM(EB8,EG8,EL8,EQ8,EV8,FA8,FF8,FK8,FP8,FU8,FZ8,GE8,GJ8,GO8,GT8,GY8,HD8,HI8,HN8,HS8,HX8,IC8,IH8),"---")</f>
        <v>17538</v>
      </c>
      <c r="DU8" s="65">
        <v>1006</v>
      </c>
      <c r="DV8" s="65">
        <v>979</v>
      </c>
      <c r="DW8" s="65">
        <v>27</v>
      </c>
      <c r="DX8" s="94">
        <f t="shared" ref="DX8:DX10" si="64">(DW8/DO8)*100</f>
        <v>0.15418879561418536</v>
      </c>
      <c r="DY8" s="93">
        <f t="shared" ref="DY8:DY10" si="65">IF($IE8-SUM(EG8,EL8,EQ8,EV8,FA8,FF8,FK8,FP8,FU8,FZ8,GE8,GJ8,GO8,GT8,GY8,HD8,HI8,HN8,HS8,HX8,IC8,IH8)&gt;0,$IE8-SUM(EG8,EL8,EQ8,EV8,FA8,FF8,FK8,FP8,FU8,FZ8,GE8,GJ8,GO8,GT8,GY8,HD8,HI8,HN8,HS8,HX8,IC8,IH8),"---")</f>
        <v>18044</v>
      </c>
      <c r="DZ8" s="65">
        <v>1322</v>
      </c>
      <c r="EA8" s="65">
        <v>816</v>
      </c>
      <c r="EB8" s="65">
        <v>506</v>
      </c>
      <c r="EC8" s="94">
        <f t="shared" ref="EC8:EC10" si="66">(EB8/DT8)*100</f>
        <v>2.8851636446573159</v>
      </c>
      <c r="ED8" s="93">
        <f t="shared" ref="ED8:ED10" si="67">IF($IE8-SUM(EL8,EQ8,EV8,FA8,FF8,FK8,FP8,FU8,FZ8,GE8,GJ8,GO8,GT8,GY8,HD8,HI8,HN8,HS8,HX8,IC8,IH8)&gt;0,$IE8-SUM(EL8,EQ8,EV8,FA8,FF8,FK8,FP8,FU8,FZ8,GE8,GJ8,GO8,GT8,GY8,HD8,HI8,HN8,HS8,HX8,IC8,IH8),"---")</f>
        <v>18162</v>
      </c>
      <c r="EE8" s="65">
        <v>1026</v>
      </c>
      <c r="EF8" s="65">
        <v>908</v>
      </c>
      <c r="EG8" s="65">
        <v>118</v>
      </c>
      <c r="EH8" s="94">
        <f t="shared" ref="EH8:EH10" si="68">(EG8/DY8)*100</f>
        <v>0.65395699401463092</v>
      </c>
      <c r="EI8" s="93">
        <f t="shared" ref="EI8:EI10" si="69">IF($IE8-SUM(EQ8,EV8,FA8,FF8,FK8,FP8,FU8,FZ8,GE8,GJ8,GO8,GT8,GY8,HD8,HI8,HN8,HS8,HX8,IC8,IH8)&gt;0,$IE8-SUM(EQ8,EV8,FA8,FF8,FK8,FP8,FU8,FZ8,GE8,GJ8,GO8,GT8,GY8,HD8,HI8,HN8,HS8,HX8,IC8,IH8),"---")</f>
        <v>18295</v>
      </c>
      <c r="EJ8" s="65">
        <v>974</v>
      </c>
      <c r="EK8" s="65">
        <v>841</v>
      </c>
      <c r="EL8" s="65">
        <v>133</v>
      </c>
      <c r="EM8" s="94">
        <f t="shared" ref="EM8:EM10" si="70">(EL8/ED8)*100</f>
        <v>0.73229820504349741</v>
      </c>
      <c r="EN8" s="93">
        <f t="shared" ref="EN8:EN10" si="71">IF($IE8-SUM(EV8,FA8,FF8,FK8,FP8,FU8,FZ8,GE8,GJ8,GO8,GT8,GY8,HD8,HI8,HN8,HS8,HX8,IC8,IH8)&gt;0,$IE8-SUM(EV8,FA8,FF8,FK8,FP8,FU8,FZ8,GE8,GJ8,GO8,GT8,GY8,HD8,HI8,HN8,HS8,HX8,IC8,IH8),"---")</f>
        <v>18496</v>
      </c>
      <c r="EO8" s="65">
        <v>1001</v>
      </c>
      <c r="EP8" s="65">
        <v>800</v>
      </c>
      <c r="EQ8" s="65">
        <v>201</v>
      </c>
      <c r="ER8" s="94">
        <f t="shared" ref="ER8:ER10" si="72">(EQ8/EI8)*100</f>
        <v>1.0986608362940695</v>
      </c>
      <c r="ES8" s="93">
        <f t="shared" ref="ES8:ES10" si="73">IF($IE8-SUM(FA8,FF8,FK8,FP8,FU8,FZ8,GE8,GJ8,GO8,GT8,GY8,HD8,HI8,HN8,HS8,HX8,IC8,IH8)&gt;0,$IE8-SUM(FA8,FF8,FK8,FP8,FU8,FZ8,GE8,GJ8,GO8,GT8,GY8,HD8,HI8,HN8,HS8,HX8,IC8,IH8),"---")</f>
        <v>18720</v>
      </c>
      <c r="ET8" s="65">
        <v>1074</v>
      </c>
      <c r="EU8" s="65">
        <v>850</v>
      </c>
      <c r="EV8" s="65">
        <v>224</v>
      </c>
      <c r="EW8" s="94">
        <f t="shared" ref="EW8:EW10" si="74">(EV8/EN8)*100</f>
        <v>1.2110726643598615</v>
      </c>
      <c r="EX8" s="93">
        <f t="shared" ref="EX8:EX10" si="75">IF($IE8-SUM(FF8,FK8,FP8,FU8,FZ8,GE8,GJ8,GO8,GT8,GY8,HD8,HI8,HN8,HS8,HX8,IC8,IH8)&gt;0,$IE8-SUM(FF8,FK8,FP8,FU8,FZ8,GE8,GJ8,GO8,GT8,GY8,HD8,HI8,HN8,HS8,HX8,IC8,IH8),"---")</f>
        <v>18737</v>
      </c>
      <c r="EY8" s="65">
        <v>958</v>
      </c>
      <c r="EZ8" s="65">
        <v>941</v>
      </c>
      <c r="FA8" s="65">
        <v>17</v>
      </c>
      <c r="FB8" s="94">
        <f t="shared" ref="FB8:FB10" si="76">(FA8/ES8)*100</f>
        <v>9.0811965811965809E-2</v>
      </c>
      <c r="FC8" s="93">
        <f t="shared" ref="FC8:FC10" si="77">IF($IE8-SUM(FK8,FP8,FU8,FZ8,GE8,GJ8,GO8,GT8,GY8,HD8,HI8,HN8,HS8,HX8,IC8,IH8)&gt;0,$IE8-SUM(FK8,FP8,FU8,FZ8,GE8,GJ8,GO8,GT8,GY8,HD8,HI8,HN8,HS8,HX8,IC8,IH8),"---")</f>
        <v>18914</v>
      </c>
      <c r="FD8" s="65">
        <v>1119</v>
      </c>
      <c r="FE8" s="65">
        <v>942</v>
      </c>
      <c r="FF8" s="65">
        <v>177</v>
      </c>
      <c r="FG8" s="94">
        <f t="shared" ref="FG8:FG10" si="78">(FF8/EX8)*100</f>
        <v>0.94465496077280242</v>
      </c>
      <c r="FH8" s="93">
        <f t="shared" ref="FH8:FH10" si="79">IF($IE8-SUM(FP8,FU8,FZ8,GE8,GJ8,GO8,GT8,GY8,HD8,HI8,HN8,HS8,HX8,IC8,IH8)&gt;0,$IE8-SUM(FP8,FU8,FZ8,GE8,GJ8,GO8,GT8,GY8,HD8,HI8,HN8,HS8,HX8,IC8,IH8),"---")</f>
        <v>18978</v>
      </c>
      <c r="FI8" s="65">
        <v>992</v>
      </c>
      <c r="FJ8" s="65">
        <v>928</v>
      </c>
      <c r="FK8" s="65">
        <v>64</v>
      </c>
      <c r="FL8" s="94">
        <f t="shared" ref="FL8:FL10" si="80">(FK8/FC8)*100</f>
        <v>0.33837369144549012</v>
      </c>
      <c r="FM8" s="93">
        <f t="shared" ref="FM8:FM10" si="81">IF($IE8-SUM(FU8,FZ8,GE8,GJ8,GO8,GT8,GY8,HD8,HI8,HN8,HS8,HX8,IC8,IH8)&gt;0,$IE8-SUM(FU8,FZ8,GE8,GJ8,GO8,GT8,GY8,HD8,HI8,HN8,HS8,HX8,IC8,IH8),"---")</f>
        <v>18988</v>
      </c>
      <c r="FN8" s="65">
        <v>916</v>
      </c>
      <c r="FO8" s="65">
        <v>906</v>
      </c>
      <c r="FP8" s="65">
        <v>10</v>
      </c>
      <c r="FQ8" s="94">
        <f t="shared" ref="FQ8:FQ10" si="82">(FP8/FH8)*100</f>
        <v>5.2692591421646111E-2</v>
      </c>
      <c r="FR8" s="93">
        <f t="shared" ref="FR8:FR10" si="83">IF($IE8-SUM(FZ8,GE8,GJ8,GO8,GT8,GY8,HD8,HI8,HN8,HS8,HX8,IC8,IH8)&gt;0,$IE8-SUM(FZ8,GE8,GJ8,GO8,GT8,GY8,HD8,HI8,HN8,HS8,HX8,IC8,IH8),"---")</f>
        <v>19029</v>
      </c>
      <c r="FS8" s="65">
        <v>793</v>
      </c>
      <c r="FT8" s="65">
        <v>752</v>
      </c>
      <c r="FU8" s="65">
        <v>41</v>
      </c>
      <c r="FV8" s="94">
        <f t="shared" ref="FV8:FV10" si="84">(FU8/FM8)*100</f>
        <v>0.21592584790393934</v>
      </c>
      <c r="FW8" s="93">
        <f t="shared" ref="FW8:FW10" si="85">IF($IE8-SUM(GE8,GJ8,GO8,GT8,GY8,HD8,HI8,HN8,HS8,HX8,IC8,IH8)&gt;0,$IE8-SUM(GE8,GJ8,GO8,GT8,GY8,HD8,HI8,HN8,HS8,HX8,IC8,IH8),"---")</f>
        <v>18876</v>
      </c>
      <c r="FX8" s="65">
        <v>573</v>
      </c>
      <c r="FY8" s="65">
        <v>726</v>
      </c>
      <c r="FZ8" s="65">
        <v>-153</v>
      </c>
      <c r="GA8" s="94">
        <f t="shared" ref="GA8:GA10" si="86">(FZ8/FR8)*100</f>
        <v>-0.80403594513637078</v>
      </c>
      <c r="GB8" s="93">
        <f t="shared" ref="GB8:GB10" si="87">IF($IE8-SUM(GJ8,GO8,GT8,GY8,HD8,HI8,HN8,HS8,HX8,IC8,IH8)&gt;0,$IE8-SUM(GJ8,GO8,GT8,GY8,HD8,HI8,HN8,HS8,HX8,IC8,IH8),"---")</f>
        <v>18244</v>
      </c>
      <c r="GC8" s="65">
        <v>792</v>
      </c>
      <c r="GD8" s="65">
        <v>1424</v>
      </c>
      <c r="GE8" s="65">
        <v>-632</v>
      </c>
      <c r="GF8" s="94">
        <f t="shared" ref="GF8:GF10" si="88">(GE8/FW8)*100</f>
        <v>-3.3481669845306206</v>
      </c>
      <c r="GG8" s="93">
        <f t="shared" ref="GG8:GG10" si="89">IF($IE8-SUM(GO8,GT8,GY8,HD8,HI8,HN8,HS8,HX8,IC8,IH8)&gt;0,$IE8-SUM(GO8,GT8,GY8,HD8,HI8,HN8,HS8,HX8,IC8,IH8),"---")</f>
        <v>18846</v>
      </c>
      <c r="GH8" s="65">
        <v>1503</v>
      </c>
      <c r="GI8" s="65">
        <v>901</v>
      </c>
      <c r="GJ8" s="65">
        <v>602</v>
      </c>
      <c r="GK8" s="94">
        <f t="shared" ref="GK8:GK10" si="90">(GJ8/GB8)*100</f>
        <v>3.2997149747862311</v>
      </c>
      <c r="GL8" s="93">
        <f t="shared" ref="GL8:GL10" si="91">IF($IE8-SUM(GT8,GY8,HD8,HI8,HN8,HS8,HX8,IC8,IH8)&gt;0,$IE8-SUM(GT8,GY8,HD8,HI8,HN8,HS8,HX8,IC8,IH8),"---")</f>
        <v>18964</v>
      </c>
      <c r="GM8" s="65">
        <v>1078</v>
      </c>
      <c r="GN8" s="65">
        <v>960</v>
      </c>
      <c r="GO8" s="65">
        <v>118</v>
      </c>
      <c r="GP8" s="94">
        <f t="shared" ref="GP8:GP10" si="92">(GO8/GG8)*100</f>
        <v>0.62612756022498139</v>
      </c>
      <c r="GQ8" s="93">
        <f t="shared" ref="GQ8:GQ10" si="93">IF($IE8-SUM(GY8,HD8,HI8,HN8,HS8,HX8,IC8,IH8)&gt;0,$IE8-SUM(GY8,HD8,HI8,HN8,HS8,HX8,IC8,IH8),"---")</f>
        <v>19009</v>
      </c>
      <c r="GR8" s="65">
        <v>887</v>
      </c>
      <c r="GS8" s="65">
        <v>842</v>
      </c>
      <c r="GT8" s="65">
        <v>45</v>
      </c>
      <c r="GU8" s="94">
        <f t="shared" ref="GU8:GU10" si="94">(GT8/GL8)*100</f>
        <v>0.23729171060957602</v>
      </c>
      <c r="GV8" s="93">
        <f t="shared" ref="GV8:GV10" si="95">IF($IE8-SUM(HD8,HI8,HN8,HS8,HX8,IC8,IH8)&gt;0,$IE8-SUM(HD8,HI8,HN8,HS8,HX8,IC8,IH8),"---")</f>
        <v>19059</v>
      </c>
      <c r="GW8" s="65">
        <v>965</v>
      </c>
      <c r="GX8" s="65">
        <v>915</v>
      </c>
      <c r="GY8" s="65">
        <v>50</v>
      </c>
      <c r="GZ8" s="94">
        <f t="shared" ref="GZ8:GZ10" si="96">(GY8/GQ8)*100</f>
        <v>0.26303330001578196</v>
      </c>
      <c r="HA8" s="93">
        <f t="shared" ref="HA8:HA10" si="97">IF($IE8-SUM(HI8,HN8,HS8,HX8,IC8,IH8)&gt;0,$IE8-SUM(HI8,HN8,HS8,HX8,IC8,IH8),"---")</f>
        <v>19106</v>
      </c>
      <c r="HB8" s="65">
        <v>954</v>
      </c>
      <c r="HC8" s="65">
        <v>907</v>
      </c>
      <c r="HD8" s="65">
        <v>47</v>
      </c>
      <c r="HE8" s="94">
        <f t="shared" ref="HE8:HE10" si="98">(HD8/GV8)*100</f>
        <v>0.24660265491368905</v>
      </c>
      <c r="HF8" s="93">
        <f t="shared" ref="HF8:HF10" si="99">IF($IE8-SUM(HN8,HS8,HX8,IC8,IH8)&gt;0,$IE8-SUM(HN8,HS8,HX8,IC8,IH8),"---")</f>
        <v>19238</v>
      </c>
      <c r="HG8" s="65">
        <v>970</v>
      </c>
      <c r="HH8" s="65">
        <v>838</v>
      </c>
      <c r="HI8" s="65">
        <v>132</v>
      </c>
      <c r="HJ8" s="94">
        <f t="shared" ref="HJ8:HJ10" si="100">(HI8/HA8)*100</f>
        <v>0.69088244530513976</v>
      </c>
      <c r="HK8" s="93">
        <f t="shared" ref="HK8:HK10" si="101">IF($IE8-SUM(HS8,HX8,IC8,IH8)&gt;0,$IE8-SUM(HS8,HX8,IC8,IH8),"---")</f>
        <v>19315</v>
      </c>
      <c r="HL8" s="65">
        <v>967</v>
      </c>
      <c r="HM8" s="65">
        <v>890</v>
      </c>
      <c r="HN8" s="65">
        <v>77</v>
      </c>
      <c r="HO8" s="94">
        <f t="shared" ref="HO8:HO10" si="102">(HN8/HF8)*100</f>
        <v>0.40024950618567418</v>
      </c>
      <c r="HP8" s="93">
        <f t="shared" ref="HP8:HP10" si="103">IF($IE8-SUM(HX8,IC8,IH8)&gt;0,$IE8-SUM(HX8,IC8,IH8),"---")</f>
        <v>19406</v>
      </c>
      <c r="HQ8" s="65">
        <v>914</v>
      </c>
      <c r="HR8" s="65">
        <v>823</v>
      </c>
      <c r="HS8" s="65">
        <v>91</v>
      </c>
      <c r="HT8" s="94">
        <f t="shared" ref="HT8:HT10" si="104">(HS8/HK8)*100</f>
        <v>0.4711364224695832</v>
      </c>
      <c r="HU8" s="93">
        <f t="shared" ref="HU8:HU10" si="105">IF($IE8-SUM(IC8,IH8)&gt;0,$IE8-SUM(IC8,IH8),"---")</f>
        <v>19338</v>
      </c>
      <c r="HV8" s="65">
        <v>855</v>
      </c>
      <c r="HW8" s="65">
        <v>923</v>
      </c>
      <c r="HX8" s="65">
        <v>-68</v>
      </c>
      <c r="HY8" s="94">
        <f t="shared" ref="HY8:HY10" si="106">(HX8/HP8)*100</f>
        <v>-0.35040709059053898</v>
      </c>
      <c r="HZ8" s="93">
        <f t="shared" ref="HZ8:HZ10" si="107">IF($IE8-SUM(IH8)&gt;0,$IE8-SUM(IH8),"---")</f>
        <v>19513</v>
      </c>
      <c r="IA8" s="65">
        <v>987</v>
      </c>
      <c r="IB8" s="65">
        <v>812</v>
      </c>
      <c r="IC8" s="65">
        <v>175</v>
      </c>
      <c r="ID8" s="94">
        <f t="shared" ref="ID8:ID10" si="108">(IC8/HU8)*100</f>
        <v>0.90495397662633159</v>
      </c>
      <c r="IE8" s="93">
        <v>19421</v>
      </c>
      <c r="IF8" s="65">
        <v>583</v>
      </c>
      <c r="IG8" s="65">
        <v>675</v>
      </c>
      <c r="IH8" s="65">
        <v>-92</v>
      </c>
      <c r="II8" s="94">
        <f t="shared" ref="II8:II10" si="109">(IH8/HZ8)*100</f>
        <v>-0.47148055142725359</v>
      </c>
      <c r="IJ8" s="93">
        <f t="shared" ref="IJ8:IJ10" si="110">IE8+IM8</f>
        <v>18800</v>
      </c>
      <c r="IK8" s="65">
        <v>897</v>
      </c>
      <c r="IL8" s="65">
        <v>1518</v>
      </c>
      <c r="IM8" s="65">
        <v>-621</v>
      </c>
      <c r="IN8" s="94">
        <f t="shared" ref="IN8:IN10" si="111">(IM8/IE8)*100</f>
        <v>-3.1975696411101389</v>
      </c>
      <c r="IO8" s="93">
        <f t="shared" ref="IO8:IO10" si="112">IJ8+IR8</f>
        <v>19500</v>
      </c>
      <c r="IP8" s="65">
        <v>1662</v>
      </c>
      <c r="IQ8" s="65">
        <v>962</v>
      </c>
      <c r="IR8" s="65">
        <v>700</v>
      </c>
      <c r="IS8" s="94">
        <f t="shared" ref="IS8:IS10" si="113">(IR8/IJ8)*100</f>
        <v>3.7234042553191489</v>
      </c>
      <c r="IT8" s="93">
        <f t="shared" ref="IT8:IT10" si="114">IO8+IW8</f>
        <v>19590</v>
      </c>
      <c r="IU8" s="65">
        <v>1020</v>
      </c>
      <c r="IV8" s="65">
        <v>930</v>
      </c>
      <c r="IW8" s="65">
        <v>90</v>
      </c>
      <c r="IX8" s="94">
        <f t="shared" ref="IX8:IX10" si="115">(IW8/IO8)*100</f>
        <v>0.46153846153846156</v>
      </c>
      <c r="IY8" s="93">
        <f t="shared" ref="IY8:IY10" si="116">IT8+JB8</f>
        <v>19533</v>
      </c>
      <c r="IZ8" s="65">
        <v>892</v>
      </c>
      <c r="JA8" s="65">
        <v>949</v>
      </c>
      <c r="JB8" s="65">
        <v>-57</v>
      </c>
      <c r="JC8" s="94">
        <f t="shared" ref="JC8:JC10" si="117">(JB8/IT8)*100</f>
        <v>-0.29096477794793263</v>
      </c>
      <c r="JD8" s="93">
        <f t="shared" ref="JD8:JD10" si="118">IY8+JG8</f>
        <v>19585</v>
      </c>
      <c r="JE8" s="65">
        <v>1004</v>
      </c>
      <c r="JF8" s="65">
        <v>952</v>
      </c>
      <c r="JG8" s="65">
        <v>52</v>
      </c>
      <c r="JH8" s="94">
        <f t="shared" ref="JH8:JH10" si="119">(JG8/IY8)*100</f>
        <v>0.26621614703322583</v>
      </c>
      <c r="JI8" s="93">
        <f t="shared" ref="JI8:JI10" si="120">JD8+JL8</f>
        <v>19566</v>
      </c>
      <c r="JJ8" s="65">
        <v>940</v>
      </c>
      <c r="JK8" s="65">
        <v>959</v>
      </c>
      <c r="JL8" s="65">
        <v>-19</v>
      </c>
      <c r="JM8" s="94">
        <f t="shared" ref="JM8:JM10" si="121">(JL8/JD8)*100</f>
        <v>-9.7013020168496292E-2</v>
      </c>
      <c r="JN8" s="93">
        <f t="shared" ref="JN8:JN10" si="122">JI8+JQ8</f>
        <v>19639</v>
      </c>
      <c r="JO8" s="65">
        <v>1066</v>
      </c>
      <c r="JP8" s="65">
        <v>993</v>
      </c>
      <c r="JQ8" s="65">
        <v>73</v>
      </c>
      <c r="JR8" s="94">
        <f t="shared" ref="JR8:JR10" si="123">(JQ8/JI8)*100</f>
        <v>0.37309618726362054</v>
      </c>
      <c r="JS8" s="93">
        <f t="shared" ref="JS8:JS10" si="124">JN8+JV8</f>
        <v>19711</v>
      </c>
      <c r="JT8" s="65">
        <v>1061</v>
      </c>
      <c r="JU8" s="65">
        <v>989</v>
      </c>
      <c r="JV8" s="65">
        <v>72</v>
      </c>
      <c r="JW8" s="94">
        <f t="shared" ref="JW8:JW10" si="125">(JV8/JN8)*100</f>
        <v>0.36661744488008552</v>
      </c>
      <c r="JX8" s="93">
        <f t="shared" ref="JX8:JX10" si="126">JS8+KA8</f>
        <v>19768</v>
      </c>
      <c r="JY8" s="65">
        <v>976</v>
      </c>
      <c r="JZ8" s="65">
        <v>919</v>
      </c>
      <c r="KA8" s="65">
        <v>57</v>
      </c>
      <c r="KB8" s="94">
        <f t="shared" ref="KB8:KB10" si="127">(KA8/JS8)*100</f>
        <v>0.28917863122114557</v>
      </c>
      <c r="KC8" s="93">
        <f t="shared" ref="KC8:KC10" si="128">JX8+KF8</f>
        <v>19822</v>
      </c>
      <c r="KD8" s="65">
        <v>997</v>
      </c>
      <c r="KE8" s="65">
        <v>943</v>
      </c>
      <c r="KF8" s="65">
        <v>54</v>
      </c>
      <c r="KG8" s="94">
        <f t="shared" ref="KG8:KG10" si="129">(KF8/JX8)*100</f>
        <v>0.27316875758802101</v>
      </c>
      <c r="KH8" s="93">
        <f t="shared" ref="KH8:KH10" si="130">KC8+KK8</f>
        <v>19770</v>
      </c>
      <c r="KI8" s="65">
        <v>812</v>
      </c>
      <c r="KJ8" s="65">
        <v>864</v>
      </c>
      <c r="KK8" s="65">
        <v>-52</v>
      </c>
      <c r="KL8" s="94">
        <f t="shared" ref="KL8:KL10" si="131">(KK8/KC8)*100</f>
        <v>-0.2623347795378872</v>
      </c>
      <c r="KM8" s="93">
        <f t="shared" ref="KM8:KM10" si="132">KH8+KP8</f>
        <v>19670</v>
      </c>
      <c r="KN8" s="65">
        <v>644</v>
      </c>
      <c r="KO8" s="65">
        <v>744</v>
      </c>
      <c r="KP8" s="65">
        <v>-100</v>
      </c>
      <c r="KQ8" s="94">
        <f t="shared" ref="KQ8:KQ10" si="133">(KP8/KH8)*100</f>
        <v>-0.50581689428426913</v>
      </c>
      <c r="KR8" s="93">
        <f t="shared" ref="KR8:KR10" si="134">KM8+KU8</f>
        <v>18994</v>
      </c>
      <c r="KS8" s="65">
        <v>1023</v>
      </c>
      <c r="KT8" s="65">
        <v>1699</v>
      </c>
      <c r="KU8" s="65">
        <v>-676</v>
      </c>
      <c r="KV8" s="94">
        <f t="shared" ref="KV8:KV10" si="135">(KU8/KM8)*100</f>
        <v>-3.4367056431113365</v>
      </c>
      <c r="KW8" s="93">
        <f t="shared" ref="KW8:KW10" si="136">KR8+KZ8</f>
        <v>19843</v>
      </c>
      <c r="KX8" s="65">
        <v>1886</v>
      </c>
      <c r="KY8" s="65">
        <v>1037</v>
      </c>
      <c r="KZ8" s="65">
        <v>849</v>
      </c>
      <c r="LA8" s="94">
        <f t="shared" ref="LA8:LA10" si="137">(KZ8/KR8)*100</f>
        <v>4.4698325787090658</v>
      </c>
      <c r="LB8" s="93">
        <f t="shared" ref="LB8:LB10" si="138">KW8+LE8</f>
        <v>19839</v>
      </c>
      <c r="LC8" s="65">
        <v>1018</v>
      </c>
      <c r="LD8" s="65">
        <v>1022</v>
      </c>
      <c r="LE8" s="65">
        <v>-4</v>
      </c>
      <c r="LF8" s="94">
        <f t="shared" ref="LF8:LF10" si="139">(LE8/KW8)*100</f>
        <v>-2.0158242201280048E-2</v>
      </c>
      <c r="LG8" s="93">
        <f t="shared" ref="LG8:LG10" si="140">LB8+LJ8</f>
        <v>19879</v>
      </c>
      <c r="LH8" s="65">
        <v>1036</v>
      </c>
      <c r="LI8" s="65">
        <v>996</v>
      </c>
      <c r="LJ8" s="65">
        <v>40</v>
      </c>
      <c r="LK8" s="94">
        <f t="shared" ref="LK8:LK10" si="141">(LJ8/LB8)*100</f>
        <v>0.20162306567871363</v>
      </c>
      <c r="LL8" s="93">
        <f t="shared" ref="LL8:LL10" si="142">LG8+LO8</f>
        <v>19909</v>
      </c>
      <c r="LM8" s="65">
        <v>1040</v>
      </c>
      <c r="LN8" s="65">
        <v>1010</v>
      </c>
      <c r="LO8" s="65">
        <v>30</v>
      </c>
      <c r="LP8" s="94">
        <f t="shared" ref="LP8:LP10" si="143">(LO8/LG8)*100</f>
        <v>0.15091302379395341</v>
      </c>
      <c r="LQ8" s="93">
        <f t="shared" ref="LQ8:LQ10" si="144">LL8+LT8</f>
        <v>19882</v>
      </c>
      <c r="LR8" s="65">
        <v>932</v>
      </c>
      <c r="LS8" s="65">
        <v>959</v>
      </c>
      <c r="LT8" s="65">
        <v>-27</v>
      </c>
      <c r="LU8" s="94">
        <f t="shared" ref="LU8:LU10" si="145">(LT8/LL8)*100</f>
        <v>-0.13561705761213522</v>
      </c>
      <c r="LV8" s="93">
        <f t="shared" ref="LV8:LV10" si="146">LQ8+LY8</f>
        <v>19957</v>
      </c>
      <c r="LW8" s="65">
        <v>1120</v>
      </c>
      <c r="LX8" s="65">
        <v>1045</v>
      </c>
      <c r="LY8" s="65">
        <v>75</v>
      </c>
      <c r="LZ8" s="94">
        <f t="shared" ref="LZ8:LZ10" si="147">(LY8/LQ8)*100</f>
        <v>0.37722563122422292</v>
      </c>
      <c r="MA8" s="93">
        <f t="shared" si="0"/>
        <v>20056</v>
      </c>
      <c r="MB8" s="65">
        <v>1041</v>
      </c>
      <c r="MC8" s="65">
        <v>942</v>
      </c>
      <c r="MD8" s="65">
        <v>99</v>
      </c>
      <c r="ME8" s="94">
        <f t="shared" si="1"/>
        <v>0.49606654306759534</v>
      </c>
      <c r="MF8" s="93">
        <f t="shared" si="2"/>
        <v>20116</v>
      </c>
      <c r="MG8" s="65">
        <v>1055</v>
      </c>
      <c r="MH8" s="65">
        <v>995</v>
      </c>
      <c r="MI8" s="65">
        <v>60</v>
      </c>
      <c r="MJ8" s="94">
        <f t="shared" si="3"/>
        <v>0.29916234543278819</v>
      </c>
      <c r="MK8" s="93">
        <f t="shared" si="4"/>
        <v>20118</v>
      </c>
      <c r="ML8" s="65">
        <v>1013</v>
      </c>
      <c r="MM8" s="65">
        <v>1011</v>
      </c>
      <c r="MN8" s="65">
        <v>2</v>
      </c>
      <c r="MO8" s="94">
        <f t="shared" si="5"/>
        <v>9.9423344601312375E-3</v>
      </c>
      <c r="MP8" s="93">
        <f t="shared" si="6"/>
        <v>20039</v>
      </c>
      <c r="MQ8" s="65">
        <v>826</v>
      </c>
      <c r="MR8" s="65">
        <v>905</v>
      </c>
      <c r="MS8" s="65">
        <v>-79</v>
      </c>
      <c r="MT8" s="94">
        <f t="shared" si="7"/>
        <v>-0.3926831693011234</v>
      </c>
      <c r="MU8" s="93">
        <f t="shared" si="8"/>
        <v>19752</v>
      </c>
      <c r="MV8" s="65">
        <v>607</v>
      </c>
      <c r="MW8" s="65">
        <v>894</v>
      </c>
      <c r="MX8" s="65">
        <v>-287</v>
      </c>
      <c r="MY8" s="94">
        <v>-1.421284556388855</v>
      </c>
      <c r="MZ8" s="93">
        <f t="shared" si="9"/>
        <v>19101</v>
      </c>
      <c r="NA8" s="65">
        <v>936</v>
      </c>
      <c r="NB8" s="65">
        <v>1587</v>
      </c>
      <c r="NC8" s="65">
        <v>-651</v>
      </c>
      <c r="ND8" s="108">
        <v>-3.2703707218170166</v>
      </c>
      <c r="NE8" s="110">
        <f t="shared" si="10"/>
        <v>19853</v>
      </c>
      <c r="NF8" s="110">
        <v>1837</v>
      </c>
      <c r="NG8" s="110">
        <v>1085</v>
      </c>
      <c r="NH8" s="110">
        <v>752</v>
      </c>
      <c r="NI8" s="108">
        <f t="shared" si="11"/>
        <v>3.7878406286203599</v>
      </c>
      <c r="NJ8" s="110">
        <f t="shared" si="12"/>
        <v>19912</v>
      </c>
      <c r="NK8" s="93">
        <v>1151</v>
      </c>
      <c r="NL8" s="93">
        <v>1092</v>
      </c>
      <c r="NM8" s="93">
        <v>59</v>
      </c>
      <c r="NN8" s="108">
        <f t="shared" si="13"/>
        <v>0.29630373644033753</v>
      </c>
      <c r="NO8" s="93">
        <f t="shared" ref="NO8:NO10" si="148">SUM(NA8,NF8,NK8)</f>
        <v>3924</v>
      </c>
      <c r="NP8" s="93">
        <f t="shared" si="14"/>
        <v>3764</v>
      </c>
      <c r="NQ8" s="93">
        <f t="shared" si="14"/>
        <v>160</v>
      </c>
      <c r="NR8" s="94">
        <f t="shared" ref="NR8:NR10" si="149">(NQ8/MU8)*100</f>
        <v>0.81004455245038476</v>
      </c>
      <c r="NS8" s="59">
        <f t="shared" ref="NS8:NS10" si="150">SUM(NF8,NA8,MV8,MQ8,ML8,MG8,MB8,LW8,LR8,LM8,LH8,NK8)</f>
        <v>12594</v>
      </c>
      <c r="NT8" s="59">
        <f t="shared" si="15"/>
        <v>12521</v>
      </c>
      <c r="NU8" s="59">
        <f t="shared" si="15"/>
        <v>73</v>
      </c>
      <c r="NV8" s="94">
        <f t="shared" ref="NV8:NV10" si="151">NU8/(NJ8-NU8)*100</f>
        <v>0.36796209486365239</v>
      </c>
      <c r="NW8" s="12"/>
    </row>
    <row r="9" spans="1:387" s="5" customFormat="1" ht="18" customHeight="1">
      <c r="A9" s="12"/>
      <c r="B9" s="62" t="s">
        <v>45</v>
      </c>
      <c r="C9" s="63">
        <v>110003</v>
      </c>
      <c r="D9" s="64" t="s">
        <v>48</v>
      </c>
      <c r="E9" s="93">
        <f t="shared" si="16"/>
        <v>539</v>
      </c>
      <c r="F9" s="63">
        <v>37</v>
      </c>
      <c r="G9" s="63">
        <v>8</v>
      </c>
      <c r="H9" s="63">
        <v>29</v>
      </c>
      <c r="I9" s="93">
        <f t="shared" si="17"/>
        <v>541</v>
      </c>
      <c r="J9" s="63">
        <v>14</v>
      </c>
      <c r="K9" s="63">
        <v>12</v>
      </c>
      <c r="L9" s="63">
        <v>2</v>
      </c>
      <c r="M9" s="94">
        <f t="shared" si="18"/>
        <v>0.3710575139146568</v>
      </c>
      <c r="N9" s="93">
        <f t="shared" si="19"/>
        <v>525</v>
      </c>
      <c r="O9" s="65">
        <v>8</v>
      </c>
      <c r="P9" s="65">
        <v>24</v>
      </c>
      <c r="Q9" s="65">
        <v>-16</v>
      </c>
      <c r="R9" s="94">
        <f t="shared" si="20"/>
        <v>-2.957486136783734</v>
      </c>
      <c r="S9" s="93">
        <f t="shared" si="21"/>
        <v>508</v>
      </c>
      <c r="T9" s="65">
        <v>4</v>
      </c>
      <c r="U9" s="65">
        <v>21</v>
      </c>
      <c r="V9" s="65">
        <v>-17</v>
      </c>
      <c r="W9" s="94">
        <f t="shared" si="22"/>
        <v>-3.2380952380952377</v>
      </c>
      <c r="X9" s="93">
        <f t="shared" si="23"/>
        <v>500</v>
      </c>
      <c r="Y9" s="65">
        <v>4</v>
      </c>
      <c r="Z9" s="65">
        <v>12</v>
      </c>
      <c r="AA9" s="65">
        <v>-8</v>
      </c>
      <c r="AB9" s="94">
        <f t="shared" si="24"/>
        <v>-1.5748031496062991</v>
      </c>
      <c r="AC9" s="93">
        <f t="shared" si="25"/>
        <v>511</v>
      </c>
      <c r="AD9" s="65">
        <v>17</v>
      </c>
      <c r="AE9" s="65">
        <v>6</v>
      </c>
      <c r="AF9" s="65">
        <v>11</v>
      </c>
      <c r="AG9" s="94">
        <f t="shared" si="26"/>
        <v>2.1999999999999997</v>
      </c>
      <c r="AH9" s="93">
        <f t="shared" si="27"/>
        <v>510</v>
      </c>
      <c r="AI9" s="65">
        <v>14</v>
      </c>
      <c r="AJ9" s="65">
        <v>15</v>
      </c>
      <c r="AK9" s="65">
        <v>-1</v>
      </c>
      <c r="AL9" s="94">
        <f t="shared" si="28"/>
        <v>-0.19569471624266144</v>
      </c>
      <c r="AM9" s="93">
        <f t="shared" si="29"/>
        <v>515</v>
      </c>
      <c r="AN9" s="65">
        <v>12</v>
      </c>
      <c r="AO9" s="65">
        <v>7</v>
      </c>
      <c r="AP9" s="65">
        <v>5</v>
      </c>
      <c r="AQ9" s="94">
        <f t="shared" si="30"/>
        <v>0.98039215686274506</v>
      </c>
      <c r="AR9" s="93">
        <f t="shared" si="31"/>
        <v>519</v>
      </c>
      <c r="AS9" s="65">
        <v>20</v>
      </c>
      <c r="AT9" s="65">
        <v>16</v>
      </c>
      <c r="AU9" s="65">
        <v>4</v>
      </c>
      <c r="AV9" s="94">
        <f t="shared" si="32"/>
        <v>0.77669902912621358</v>
      </c>
      <c r="AW9" s="93">
        <f t="shared" si="33"/>
        <v>529</v>
      </c>
      <c r="AX9" s="65">
        <v>22</v>
      </c>
      <c r="AY9" s="65">
        <v>12</v>
      </c>
      <c r="AZ9" s="65">
        <v>10</v>
      </c>
      <c r="BA9" s="94">
        <f t="shared" si="34"/>
        <v>1.9267822736030826</v>
      </c>
      <c r="BB9" s="93">
        <f t="shared" si="35"/>
        <v>550</v>
      </c>
      <c r="BC9" s="65">
        <v>23</v>
      </c>
      <c r="BD9" s="65">
        <v>2</v>
      </c>
      <c r="BE9" s="65">
        <v>21</v>
      </c>
      <c r="BF9" s="94">
        <f t="shared" si="36"/>
        <v>3.9697542533081283</v>
      </c>
      <c r="BG9" s="93">
        <f t="shared" si="37"/>
        <v>518</v>
      </c>
      <c r="BH9" s="65">
        <v>8</v>
      </c>
      <c r="BI9" s="65">
        <v>40</v>
      </c>
      <c r="BJ9" s="65">
        <v>-32</v>
      </c>
      <c r="BK9" s="94">
        <f t="shared" si="38"/>
        <v>-5.8181818181818183</v>
      </c>
      <c r="BL9" s="93">
        <f t="shared" si="39"/>
        <v>532</v>
      </c>
      <c r="BM9" s="65">
        <v>24</v>
      </c>
      <c r="BN9" s="65">
        <v>10</v>
      </c>
      <c r="BO9" s="65">
        <v>14</v>
      </c>
      <c r="BP9" s="94">
        <f t="shared" si="40"/>
        <v>2.7027027027027026</v>
      </c>
      <c r="BQ9" s="93">
        <f t="shared" si="41"/>
        <v>530</v>
      </c>
      <c r="BR9" s="65">
        <v>11</v>
      </c>
      <c r="BS9" s="65">
        <v>13</v>
      </c>
      <c r="BT9" s="65">
        <v>-2</v>
      </c>
      <c r="BU9" s="94">
        <f t="shared" si="42"/>
        <v>-0.37593984962406013</v>
      </c>
      <c r="BV9" s="93">
        <f t="shared" si="43"/>
        <v>518</v>
      </c>
      <c r="BW9" s="65">
        <v>4</v>
      </c>
      <c r="BX9" s="65">
        <v>16</v>
      </c>
      <c r="BY9" s="65">
        <v>-12</v>
      </c>
      <c r="BZ9" s="94">
        <f t="shared" si="44"/>
        <v>-2.2641509433962264</v>
      </c>
      <c r="CA9" s="93">
        <f t="shared" si="45"/>
        <v>518</v>
      </c>
      <c r="CB9" s="65">
        <v>16</v>
      </c>
      <c r="CC9" s="65">
        <v>16</v>
      </c>
      <c r="CD9" s="65">
        <v>0</v>
      </c>
      <c r="CE9" s="94">
        <f t="shared" si="46"/>
        <v>0</v>
      </c>
      <c r="CF9" s="93">
        <f t="shared" si="47"/>
        <v>530</v>
      </c>
      <c r="CG9" s="65">
        <v>21</v>
      </c>
      <c r="CH9" s="65">
        <v>9</v>
      </c>
      <c r="CI9" s="65">
        <v>12</v>
      </c>
      <c r="CJ9" s="94">
        <f t="shared" si="48"/>
        <v>2.3166023166023164</v>
      </c>
      <c r="CK9" s="93">
        <f t="shared" si="49"/>
        <v>533</v>
      </c>
      <c r="CL9" s="65">
        <v>18</v>
      </c>
      <c r="CM9" s="65">
        <v>15</v>
      </c>
      <c r="CN9" s="65">
        <v>3</v>
      </c>
      <c r="CO9" s="94">
        <f t="shared" si="50"/>
        <v>0.56603773584905659</v>
      </c>
      <c r="CP9" s="93">
        <f t="shared" si="51"/>
        <v>538</v>
      </c>
      <c r="CQ9" s="65">
        <v>12</v>
      </c>
      <c r="CR9" s="65">
        <v>7</v>
      </c>
      <c r="CS9" s="65">
        <v>5</v>
      </c>
      <c r="CT9" s="94">
        <f t="shared" si="52"/>
        <v>0.93808630393996251</v>
      </c>
      <c r="CU9" s="93">
        <f t="shared" si="53"/>
        <v>537</v>
      </c>
      <c r="CV9" s="65">
        <v>17</v>
      </c>
      <c r="CW9" s="65">
        <v>18</v>
      </c>
      <c r="CX9" s="65">
        <v>-1</v>
      </c>
      <c r="CY9" s="94">
        <f t="shared" si="54"/>
        <v>-0.18587360594795538</v>
      </c>
      <c r="CZ9" s="93">
        <f t="shared" si="55"/>
        <v>533</v>
      </c>
      <c r="DA9" s="65">
        <v>4</v>
      </c>
      <c r="DB9" s="65">
        <v>8</v>
      </c>
      <c r="DC9" s="65">
        <v>-4</v>
      </c>
      <c r="DD9" s="94">
        <f t="shared" si="56"/>
        <v>-0.74487895716945995</v>
      </c>
      <c r="DE9" s="93">
        <f t="shared" si="57"/>
        <v>534</v>
      </c>
      <c r="DF9" s="65">
        <v>12</v>
      </c>
      <c r="DG9" s="65">
        <v>11</v>
      </c>
      <c r="DH9" s="65">
        <v>1</v>
      </c>
      <c r="DI9" s="94">
        <f t="shared" si="58"/>
        <v>0.18761726078799248</v>
      </c>
      <c r="DJ9" s="93">
        <f t="shared" si="59"/>
        <v>537</v>
      </c>
      <c r="DK9" s="65">
        <v>12</v>
      </c>
      <c r="DL9" s="65">
        <v>9</v>
      </c>
      <c r="DM9" s="65">
        <v>3</v>
      </c>
      <c r="DN9" s="94">
        <f t="shared" si="60"/>
        <v>0.5617977528089888</v>
      </c>
      <c r="DO9" s="93">
        <f t="shared" si="61"/>
        <v>534</v>
      </c>
      <c r="DP9" s="65">
        <v>6</v>
      </c>
      <c r="DQ9" s="65">
        <v>9</v>
      </c>
      <c r="DR9" s="65">
        <v>-3</v>
      </c>
      <c r="DS9" s="94">
        <f t="shared" si="62"/>
        <v>-0.55865921787709494</v>
      </c>
      <c r="DT9" s="93">
        <f t="shared" si="63"/>
        <v>540</v>
      </c>
      <c r="DU9" s="65">
        <v>17</v>
      </c>
      <c r="DV9" s="65">
        <v>11</v>
      </c>
      <c r="DW9" s="65">
        <v>6</v>
      </c>
      <c r="DX9" s="94">
        <f t="shared" si="64"/>
        <v>1.1235955056179776</v>
      </c>
      <c r="DY9" s="93">
        <f t="shared" si="65"/>
        <v>564</v>
      </c>
      <c r="DZ9" s="65">
        <v>37</v>
      </c>
      <c r="EA9" s="65">
        <v>13</v>
      </c>
      <c r="EB9" s="65">
        <v>24</v>
      </c>
      <c r="EC9" s="94">
        <f t="shared" si="66"/>
        <v>4.4444444444444446</v>
      </c>
      <c r="ED9" s="93">
        <f t="shared" si="67"/>
        <v>563</v>
      </c>
      <c r="EE9" s="65">
        <v>16</v>
      </c>
      <c r="EF9" s="65">
        <v>17</v>
      </c>
      <c r="EG9" s="65">
        <v>-1</v>
      </c>
      <c r="EH9" s="94">
        <f t="shared" si="68"/>
        <v>-0.1773049645390071</v>
      </c>
      <c r="EI9" s="93">
        <f t="shared" si="69"/>
        <v>552</v>
      </c>
      <c r="EJ9" s="65">
        <v>11</v>
      </c>
      <c r="EK9" s="65">
        <v>22</v>
      </c>
      <c r="EL9" s="65">
        <v>-11</v>
      </c>
      <c r="EM9" s="94">
        <f t="shared" si="70"/>
        <v>-1.9538188277087036</v>
      </c>
      <c r="EN9" s="93">
        <f t="shared" si="71"/>
        <v>556</v>
      </c>
      <c r="EO9" s="65">
        <v>19</v>
      </c>
      <c r="EP9" s="65">
        <v>15</v>
      </c>
      <c r="EQ9" s="65">
        <v>4</v>
      </c>
      <c r="ER9" s="94">
        <f t="shared" si="72"/>
        <v>0.72463768115942029</v>
      </c>
      <c r="ES9" s="93">
        <f t="shared" si="73"/>
        <v>569</v>
      </c>
      <c r="ET9" s="65">
        <v>19</v>
      </c>
      <c r="EU9" s="65">
        <v>6</v>
      </c>
      <c r="EV9" s="65">
        <v>13</v>
      </c>
      <c r="EW9" s="94">
        <f t="shared" si="74"/>
        <v>2.3381294964028778</v>
      </c>
      <c r="EX9" s="93">
        <f t="shared" si="75"/>
        <v>567</v>
      </c>
      <c r="EY9" s="65">
        <v>20</v>
      </c>
      <c r="EZ9" s="65">
        <v>22</v>
      </c>
      <c r="FA9" s="65">
        <v>-2</v>
      </c>
      <c r="FB9" s="94">
        <f t="shared" si="76"/>
        <v>-0.35149384885764495</v>
      </c>
      <c r="FC9" s="93">
        <f t="shared" si="77"/>
        <v>572</v>
      </c>
      <c r="FD9" s="65">
        <v>24</v>
      </c>
      <c r="FE9" s="65">
        <v>19</v>
      </c>
      <c r="FF9" s="65">
        <v>5</v>
      </c>
      <c r="FG9" s="94">
        <f t="shared" si="78"/>
        <v>0.88183421516754845</v>
      </c>
      <c r="FH9" s="93">
        <f t="shared" si="79"/>
        <v>578</v>
      </c>
      <c r="FI9" s="65">
        <v>13</v>
      </c>
      <c r="FJ9" s="65">
        <v>7</v>
      </c>
      <c r="FK9" s="65">
        <v>6</v>
      </c>
      <c r="FL9" s="94">
        <f t="shared" si="80"/>
        <v>1.048951048951049</v>
      </c>
      <c r="FM9" s="93">
        <f t="shared" si="81"/>
        <v>583</v>
      </c>
      <c r="FN9" s="65">
        <v>11</v>
      </c>
      <c r="FO9" s="65">
        <v>6</v>
      </c>
      <c r="FP9" s="65">
        <v>5</v>
      </c>
      <c r="FQ9" s="94">
        <f t="shared" si="82"/>
        <v>0.86505190311418689</v>
      </c>
      <c r="FR9" s="93">
        <f t="shared" si="83"/>
        <v>594</v>
      </c>
      <c r="FS9" s="65">
        <v>20</v>
      </c>
      <c r="FT9" s="65">
        <v>9</v>
      </c>
      <c r="FU9" s="65">
        <v>11</v>
      </c>
      <c r="FV9" s="94">
        <f t="shared" si="84"/>
        <v>1.8867924528301887</v>
      </c>
      <c r="FW9" s="93">
        <f t="shared" si="85"/>
        <v>596</v>
      </c>
      <c r="FX9" s="65">
        <v>11</v>
      </c>
      <c r="FY9" s="65">
        <v>9</v>
      </c>
      <c r="FZ9" s="65">
        <v>2</v>
      </c>
      <c r="GA9" s="94">
        <f t="shared" si="86"/>
        <v>0.33670033670033667</v>
      </c>
      <c r="GB9" s="93">
        <f t="shared" si="87"/>
        <v>589</v>
      </c>
      <c r="GC9" s="65">
        <v>12</v>
      </c>
      <c r="GD9" s="65">
        <v>19</v>
      </c>
      <c r="GE9" s="65">
        <v>-7</v>
      </c>
      <c r="GF9" s="94">
        <f t="shared" si="88"/>
        <v>-1.174496644295302</v>
      </c>
      <c r="GG9" s="93">
        <f t="shared" si="89"/>
        <v>601</v>
      </c>
      <c r="GH9" s="65">
        <v>34</v>
      </c>
      <c r="GI9" s="65">
        <v>22</v>
      </c>
      <c r="GJ9" s="65">
        <v>12</v>
      </c>
      <c r="GK9" s="94">
        <f t="shared" si="90"/>
        <v>2.037351443123939</v>
      </c>
      <c r="GL9" s="93">
        <f t="shared" si="91"/>
        <v>593</v>
      </c>
      <c r="GM9" s="65">
        <v>19</v>
      </c>
      <c r="GN9" s="65">
        <v>27</v>
      </c>
      <c r="GO9" s="65">
        <v>-8</v>
      </c>
      <c r="GP9" s="94">
        <f t="shared" si="92"/>
        <v>-1.3311148086522462</v>
      </c>
      <c r="GQ9" s="93">
        <f t="shared" si="93"/>
        <v>588</v>
      </c>
      <c r="GR9" s="65">
        <v>10</v>
      </c>
      <c r="GS9" s="65">
        <v>15</v>
      </c>
      <c r="GT9" s="65">
        <v>-5</v>
      </c>
      <c r="GU9" s="94">
        <f t="shared" si="94"/>
        <v>-0.84317032040472173</v>
      </c>
      <c r="GV9" s="93">
        <f t="shared" si="95"/>
        <v>589</v>
      </c>
      <c r="GW9" s="65">
        <v>19</v>
      </c>
      <c r="GX9" s="65">
        <v>18</v>
      </c>
      <c r="GY9" s="65">
        <v>1</v>
      </c>
      <c r="GZ9" s="94">
        <f t="shared" si="96"/>
        <v>0.17006802721088435</v>
      </c>
      <c r="HA9" s="93">
        <f t="shared" si="97"/>
        <v>587</v>
      </c>
      <c r="HB9" s="65">
        <v>10</v>
      </c>
      <c r="HC9" s="65">
        <v>12</v>
      </c>
      <c r="HD9" s="65">
        <v>-2</v>
      </c>
      <c r="HE9" s="94">
        <f t="shared" si="98"/>
        <v>-0.3395585738539898</v>
      </c>
      <c r="HF9" s="93">
        <f t="shared" si="99"/>
        <v>579</v>
      </c>
      <c r="HG9" s="65">
        <v>4</v>
      </c>
      <c r="HH9" s="65">
        <v>12</v>
      </c>
      <c r="HI9" s="65">
        <v>-8</v>
      </c>
      <c r="HJ9" s="94">
        <f t="shared" si="100"/>
        <v>-1.362862010221465</v>
      </c>
      <c r="HK9" s="93">
        <f t="shared" si="101"/>
        <v>578</v>
      </c>
      <c r="HL9" s="65">
        <v>12</v>
      </c>
      <c r="HM9" s="65">
        <v>13</v>
      </c>
      <c r="HN9" s="65">
        <v>-1</v>
      </c>
      <c r="HO9" s="94">
        <f t="shared" si="102"/>
        <v>-0.17271157167530224</v>
      </c>
      <c r="HP9" s="93">
        <f t="shared" si="103"/>
        <v>574</v>
      </c>
      <c r="HQ9" s="65">
        <v>12</v>
      </c>
      <c r="HR9" s="65">
        <v>16</v>
      </c>
      <c r="HS9" s="65">
        <v>-4</v>
      </c>
      <c r="HT9" s="94">
        <f t="shared" si="104"/>
        <v>-0.69204152249134954</v>
      </c>
      <c r="HU9" s="93">
        <f t="shared" si="105"/>
        <v>576</v>
      </c>
      <c r="HV9" s="65">
        <v>11</v>
      </c>
      <c r="HW9" s="65">
        <v>9</v>
      </c>
      <c r="HX9" s="65">
        <v>2</v>
      </c>
      <c r="HY9" s="94">
        <f t="shared" si="106"/>
        <v>0.34843205574912894</v>
      </c>
      <c r="HZ9" s="93">
        <f t="shared" si="107"/>
        <v>582</v>
      </c>
      <c r="IA9" s="65">
        <v>16</v>
      </c>
      <c r="IB9" s="65">
        <v>10</v>
      </c>
      <c r="IC9" s="65">
        <v>6</v>
      </c>
      <c r="ID9" s="94">
        <f t="shared" si="108"/>
        <v>1.0416666666666665</v>
      </c>
      <c r="IE9" s="93">
        <v>586</v>
      </c>
      <c r="IF9" s="65">
        <v>10</v>
      </c>
      <c r="IG9" s="65">
        <v>6</v>
      </c>
      <c r="IH9" s="65">
        <v>4</v>
      </c>
      <c r="II9" s="94">
        <f t="shared" si="109"/>
        <v>0.6872852233676976</v>
      </c>
      <c r="IJ9" s="93">
        <f t="shared" si="110"/>
        <v>579</v>
      </c>
      <c r="IK9" s="65">
        <v>12</v>
      </c>
      <c r="IL9" s="65">
        <v>19</v>
      </c>
      <c r="IM9" s="65">
        <v>-7</v>
      </c>
      <c r="IN9" s="94">
        <f t="shared" si="111"/>
        <v>-1.1945392491467577</v>
      </c>
      <c r="IO9" s="93">
        <f t="shared" si="112"/>
        <v>592</v>
      </c>
      <c r="IP9" s="65">
        <v>37</v>
      </c>
      <c r="IQ9" s="65">
        <v>24</v>
      </c>
      <c r="IR9" s="65">
        <v>13</v>
      </c>
      <c r="IS9" s="94">
        <f t="shared" si="113"/>
        <v>2.2452504317789295</v>
      </c>
      <c r="IT9" s="93">
        <f t="shared" si="114"/>
        <v>586</v>
      </c>
      <c r="IU9" s="65">
        <v>19</v>
      </c>
      <c r="IV9" s="65">
        <v>25</v>
      </c>
      <c r="IW9" s="65">
        <v>-6</v>
      </c>
      <c r="IX9" s="94">
        <f t="shared" si="115"/>
        <v>-1.0135135135135136</v>
      </c>
      <c r="IY9" s="93">
        <f t="shared" si="116"/>
        <v>578</v>
      </c>
      <c r="IZ9" s="65">
        <v>21</v>
      </c>
      <c r="JA9" s="65">
        <v>29</v>
      </c>
      <c r="JB9" s="65">
        <v>-8</v>
      </c>
      <c r="JC9" s="94">
        <f t="shared" si="117"/>
        <v>-1.3651877133105803</v>
      </c>
      <c r="JD9" s="93">
        <f t="shared" si="118"/>
        <v>574</v>
      </c>
      <c r="JE9" s="65">
        <v>12</v>
      </c>
      <c r="JF9" s="65">
        <v>16</v>
      </c>
      <c r="JG9" s="65">
        <v>-4</v>
      </c>
      <c r="JH9" s="94">
        <f t="shared" si="119"/>
        <v>-0.69204152249134954</v>
      </c>
      <c r="JI9" s="93">
        <f t="shared" si="120"/>
        <v>580</v>
      </c>
      <c r="JJ9" s="65">
        <v>19</v>
      </c>
      <c r="JK9" s="65">
        <v>13</v>
      </c>
      <c r="JL9" s="65">
        <v>6</v>
      </c>
      <c r="JM9" s="94">
        <f t="shared" si="121"/>
        <v>1.0452961672473868</v>
      </c>
      <c r="JN9" s="93">
        <f t="shared" si="122"/>
        <v>583</v>
      </c>
      <c r="JO9" s="65">
        <v>20</v>
      </c>
      <c r="JP9" s="65">
        <v>17</v>
      </c>
      <c r="JQ9" s="65">
        <v>3</v>
      </c>
      <c r="JR9" s="94">
        <f t="shared" si="123"/>
        <v>0.51724137931034486</v>
      </c>
      <c r="JS9" s="93">
        <f t="shared" si="124"/>
        <v>581</v>
      </c>
      <c r="JT9" s="65">
        <v>14</v>
      </c>
      <c r="JU9" s="65">
        <v>16</v>
      </c>
      <c r="JV9" s="65">
        <v>-2</v>
      </c>
      <c r="JW9" s="94">
        <f t="shared" si="125"/>
        <v>-0.34305317324185247</v>
      </c>
      <c r="JX9" s="93">
        <f t="shared" si="126"/>
        <v>593</v>
      </c>
      <c r="JY9" s="65">
        <v>22</v>
      </c>
      <c r="JZ9" s="65">
        <v>10</v>
      </c>
      <c r="KA9" s="65">
        <v>12</v>
      </c>
      <c r="KB9" s="94">
        <f t="shared" si="127"/>
        <v>2.0654044750430294</v>
      </c>
      <c r="KC9" s="93">
        <f t="shared" si="128"/>
        <v>596</v>
      </c>
      <c r="KD9" s="65">
        <v>17</v>
      </c>
      <c r="KE9" s="65">
        <v>14</v>
      </c>
      <c r="KF9" s="65">
        <v>3</v>
      </c>
      <c r="KG9" s="94">
        <f t="shared" si="129"/>
        <v>0.50590219224283306</v>
      </c>
      <c r="KH9" s="93">
        <f t="shared" si="130"/>
        <v>596</v>
      </c>
      <c r="KI9" s="65">
        <v>16</v>
      </c>
      <c r="KJ9" s="65">
        <v>16</v>
      </c>
      <c r="KK9" s="65">
        <v>0</v>
      </c>
      <c r="KL9" s="94">
        <f t="shared" si="131"/>
        <v>0</v>
      </c>
      <c r="KM9" s="93">
        <f t="shared" si="132"/>
        <v>593</v>
      </c>
      <c r="KN9" s="65">
        <v>9</v>
      </c>
      <c r="KO9" s="65">
        <v>12</v>
      </c>
      <c r="KP9" s="65">
        <v>-3</v>
      </c>
      <c r="KQ9" s="94">
        <f t="shared" si="133"/>
        <v>-0.50335570469798652</v>
      </c>
      <c r="KR9" s="93">
        <f t="shared" si="134"/>
        <v>604</v>
      </c>
      <c r="KS9" s="65">
        <v>32</v>
      </c>
      <c r="KT9" s="65">
        <v>21</v>
      </c>
      <c r="KU9" s="65">
        <v>11</v>
      </c>
      <c r="KV9" s="94">
        <f t="shared" si="135"/>
        <v>1.854974704890388</v>
      </c>
      <c r="KW9" s="93">
        <f t="shared" si="136"/>
        <v>599</v>
      </c>
      <c r="KX9" s="65">
        <v>14</v>
      </c>
      <c r="KY9" s="65">
        <v>19</v>
      </c>
      <c r="KZ9" s="65">
        <v>-5</v>
      </c>
      <c r="LA9" s="94">
        <f t="shared" si="137"/>
        <v>-0.82781456953642385</v>
      </c>
      <c r="LB9" s="93">
        <f t="shared" si="138"/>
        <v>582</v>
      </c>
      <c r="LC9" s="65">
        <v>10</v>
      </c>
      <c r="LD9" s="65">
        <v>27</v>
      </c>
      <c r="LE9" s="65">
        <v>-17</v>
      </c>
      <c r="LF9" s="94">
        <f t="shared" si="139"/>
        <v>-2.8380634390651087</v>
      </c>
      <c r="LG9" s="93">
        <f t="shared" si="140"/>
        <v>570</v>
      </c>
      <c r="LH9" s="65">
        <v>11</v>
      </c>
      <c r="LI9" s="65">
        <v>23</v>
      </c>
      <c r="LJ9" s="65">
        <v>-12</v>
      </c>
      <c r="LK9" s="94">
        <f t="shared" si="141"/>
        <v>-2.0618556701030926</v>
      </c>
      <c r="LL9" s="93">
        <f t="shared" si="142"/>
        <v>569</v>
      </c>
      <c r="LM9" s="65">
        <v>17</v>
      </c>
      <c r="LN9" s="65">
        <v>18</v>
      </c>
      <c r="LO9" s="65">
        <v>-1</v>
      </c>
      <c r="LP9" s="94">
        <f t="shared" si="143"/>
        <v>-0.17543859649122806</v>
      </c>
      <c r="LQ9" s="93">
        <f t="shared" si="144"/>
        <v>561</v>
      </c>
      <c r="LR9" s="65">
        <v>12</v>
      </c>
      <c r="LS9" s="65">
        <v>20</v>
      </c>
      <c r="LT9" s="65">
        <v>-8</v>
      </c>
      <c r="LU9" s="94">
        <f t="shared" si="145"/>
        <v>-1.4059753954305798</v>
      </c>
      <c r="LV9" s="93">
        <f t="shared" si="146"/>
        <v>559</v>
      </c>
      <c r="LW9" s="65">
        <v>13</v>
      </c>
      <c r="LX9" s="65">
        <v>15</v>
      </c>
      <c r="LY9" s="65">
        <v>-2</v>
      </c>
      <c r="LZ9" s="94">
        <f t="shared" si="147"/>
        <v>-0.35650623885918004</v>
      </c>
      <c r="MA9" s="93">
        <f t="shared" si="0"/>
        <v>559</v>
      </c>
      <c r="MB9" s="65">
        <v>6</v>
      </c>
      <c r="MC9" s="65">
        <v>6</v>
      </c>
      <c r="MD9" s="65">
        <v>0</v>
      </c>
      <c r="ME9" s="94">
        <f t="shared" si="1"/>
        <v>0</v>
      </c>
      <c r="MF9" s="93">
        <f t="shared" si="2"/>
        <v>566</v>
      </c>
      <c r="MG9" s="65">
        <v>15</v>
      </c>
      <c r="MH9" s="65">
        <v>8</v>
      </c>
      <c r="MI9" s="65">
        <v>7</v>
      </c>
      <c r="MJ9" s="94">
        <f t="shared" si="3"/>
        <v>1.2522361359570662</v>
      </c>
      <c r="MK9" s="93">
        <f t="shared" si="4"/>
        <v>567</v>
      </c>
      <c r="ML9" s="65">
        <v>17</v>
      </c>
      <c r="MM9" s="65">
        <v>16</v>
      </c>
      <c r="MN9" s="65">
        <v>1</v>
      </c>
      <c r="MO9" s="94">
        <f t="shared" si="5"/>
        <v>0.17667844522968199</v>
      </c>
      <c r="MP9" s="93">
        <f t="shared" si="6"/>
        <v>561</v>
      </c>
      <c r="MQ9" s="65">
        <v>9</v>
      </c>
      <c r="MR9" s="65">
        <v>15</v>
      </c>
      <c r="MS9" s="65">
        <v>-6</v>
      </c>
      <c r="MT9" s="94">
        <f t="shared" si="7"/>
        <v>-1.0582010582010581</v>
      </c>
      <c r="MU9" s="93">
        <f t="shared" si="8"/>
        <v>553</v>
      </c>
      <c r="MV9" s="65">
        <v>8</v>
      </c>
      <c r="MW9" s="65">
        <v>16</v>
      </c>
      <c r="MX9" s="65">
        <v>-8</v>
      </c>
      <c r="MY9" s="94">
        <v>-1.3961606025695801</v>
      </c>
      <c r="MZ9" s="93">
        <f t="shared" si="9"/>
        <v>570</v>
      </c>
      <c r="NA9" s="65">
        <v>33</v>
      </c>
      <c r="NB9" s="65">
        <v>16</v>
      </c>
      <c r="NC9" s="65">
        <v>17</v>
      </c>
      <c r="ND9" s="108">
        <v>3.0141844749450684</v>
      </c>
      <c r="NE9" s="110">
        <f t="shared" si="10"/>
        <v>570</v>
      </c>
      <c r="NF9" s="110">
        <v>14</v>
      </c>
      <c r="NG9" s="110">
        <v>14</v>
      </c>
      <c r="NH9" s="110">
        <v>0</v>
      </c>
      <c r="NI9" s="108">
        <f t="shared" si="11"/>
        <v>0</v>
      </c>
      <c r="NJ9" s="110">
        <f t="shared" si="12"/>
        <v>551</v>
      </c>
      <c r="NK9" s="93">
        <v>10</v>
      </c>
      <c r="NL9" s="93">
        <v>29</v>
      </c>
      <c r="NM9" s="93">
        <v>-19</v>
      </c>
      <c r="NN9" s="108">
        <f t="shared" si="13"/>
        <v>-3.4482758620689653</v>
      </c>
      <c r="NO9" s="93">
        <f t="shared" si="148"/>
        <v>57</v>
      </c>
      <c r="NP9" s="93">
        <f t="shared" si="14"/>
        <v>59</v>
      </c>
      <c r="NQ9" s="93">
        <f t="shared" si="14"/>
        <v>-2</v>
      </c>
      <c r="NR9" s="94">
        <f t="shared" si="149"/>
        <v>-0.36166365280289331</v>
      </c>
      <c r="NS9" s="59">
        <f t="shared" si="150"/>
        <v>165</v>
      </c>
      <c r="NT9" s="59">
        <f t="shared" si="15"/>
        <v>196</v>
      </c>
      <c r="NU9" s="59">
        <f t="shared" si="15"/>
        <v>-31</v>
      </c>
      <c r="NV9" s="94">
        <f t="shared" si="151"/>
        <v>-5.3264604810996561</v>
      </c>
      <c r="NW9" s="12"/>
    </row>
    <row r="10" spans="1:387" s="5" customFormat="1" ht="18" customHeight="1">
      <c r="A10" s="12"/>
      <c r="B10" s="62" t="s">
        <v>45</v>
      </c>
      <c r="C10" s="63">
        <v>110004</v>
      </c>
      <c r="D10" s="64" t="s">
        <v>49</v>
      </c>
      <c r="E10" s="93">
        <f t="shared" si="16"/>
        <v>15828</v>
      </c>
      <c r="F10" s="63">
        <v>737</v>
      </c>
      <c r="G10" s="63">
        <v>816</v>
      </c>
      <c r="H10" s="63">
        <v>-79</v>
      </c>
      <c r="I10" s="93">
        <f t="shared" si="17"/>
        <v>15986</v>
      </c>
      <c r="J10" s="63">
        <v>855</v>
      </c>
      <c r="K10" s="63">
        <v>697</v>
      </c>
      <c r="L10" s="63">
        <v>158</v>
      </c>
      <c r="M10" s="94">
        <f t="shared" si="18"/>
        <v>0.99823098306798075</v>
      </c>
      <c r="N10" s="93">
        <f t="shared" si="19"/>
        <v>15973</v>
      </c>
      <c r="O10" s="65">
        <v>771</v>
      </c>
      <c r="P10" s="65">
        <v>784</v>
      </c>
      <c r="Q10" s="65">
        <v>-13</v>
      </c>
      <c r="R10" s="94">
        <f t="shared" si="20"/>
        <v>-8.1321156011510062E-2</v>
      </c>
      <c r="S10" s="93">
        <f t="shared" si="21"/>
        <v>15655</v>
      </c>
      <c r="T10" s="65">
        <v>317</v>
      </c>
      <c r="U10" s="65">
        <v>635</v>
      </c>
      <c r="V10" s="65">
        <v>-318</v>
      </c>
      <c r="W10" s="94">
        <f t="shared" si="22"/>
        <v>-1.9908595755337131</v>
      </c>
      <c r="X10" s="93">
        <f t="shared" si="23"/>
        <v>15531</v>
      </c>
      <c r="Y10" s="65">
        <v>434</v>
      </c>
      <c r="Z10" s="65">
        <v>558</v>
      </c>
      <c r="AA10" s="65">
        <v>-124</v>
      </c>
      <c r="AB10" s="94">
        <f t="shared" si="24"/>
        <v>-0.79207920792079212</v>
      </c>
      <c r="AC10" s="93">
        <f t="shared" si="25"/>
        <v>15596</v>
      </c>
      <c r="AD10" s="65">
        <v>518</v>
      </c>
      <c r="AE10" s="65">
        <v>453</v>
      </c>
      <c r="AF10" s="65">
        <v>65</v>
      </c>
      <c r="AG10" s="94">
        <f t="shared" si="26"/>
        <v>0.41851780310347048</v>
      </c>
      <c r="AH10" s="93">
        <f t="shared" si="27"/>
        <v>15626</v>
      </c>
      <c r="AI10" s="65">
        <v>650</v>
      </c>
      <c r="AJ10" s="65">
        <v>620</v>
      </c>
      <c r="AK10" s="65">
        <v>30</v>
      </c>
      <c r="AL10" s="94">
        <f t="shared" si="28"/>
        <v>0.1923570146191331</v>
      </c>
      <c r="AM10" s="93">
        <f t="shared" si="29"/>
        <v>15830</v>
      </c>
      <c r="AN10" s="65">
        <v>743</v>
      </c>
      <c r="AO10" s="65">
        <v>539</v>
      </c>
      <c r="AP10" s="65">
        <v>204</v>
      </c>
      <c r="AQ10" s="94">
        <f t="shared" si="30"/>
        <v>1.3055164469473954</v>
      </c>
      <c r="AR10" s="93">
        <f t="shared" si="31"/>
        <v>15922</v>
      </c>
      <c r="AS10" s="65">
        <v>719</v>
      </c>
      <c r="AT10" s="65">
        <v>627</v>
      </c>
      <c r="AU10" s="65">
        <v>92</v>
      </c>
      <c r="AV10" s="94">
        <f t="shared" si="32"/>
        <v>0.58117498420720148</v>
      </c>
      <c r="AW10" s="93">
        <f t="shared" si="33"/>
        <v>16004</v>
      </c>
      <c r="AX10" s="65">
        <v>725</v>
      </c>
      <c r="AY10" s="65">
        <v>643</v>
      </c>
      <c r="AZ10" s="65">
        <v>82</v>
      </c>
      <c r="BA10" s="94">
        <f t="shared" si="34"/>
        <v>0.51501067705062176</v>
      </c>
      <c r="BB10" s="93">
        <f t="shared" si="35"/>
        <v>16084</v>
      </c>
      <c r="BC10" s="65">
        <v>732</v>
      </c>
      <c r="BD10" s="65">
        <v>652</v>
      </c>
      <c r="BE10" s="65">
        <v>80</v>
      </c>
      <c r="BF10" s="94">
        <f t="shared" si="36"/>
        <v>0.49987503124218946</v>
      </c>
      <c r="BG10" s="93">
        <f t="shared" si="37"/>
        <v>16188</v>
      </c>
      <c r="BH10" s="65">
        <v>703</v>
      </c>
      <c r="BI10" s="65">
        <v>599</v>
      </c>
      <c r="BJ10" s="65">
        <v>104</v>
      </c>
      <c r="BK10" s="94">
        <f t="shared" si="38"/>
        <v>0.64660532205918919</v>
      </c>
      <c r="BL10" s="93">
        <f t="shared" si="39"/>
        <v>16073</v>
      </c>
      <c r="BM10" s="65">
        <v>618</v>
      </c>
      <c r="BN10" s="65">
        <v>733</v>
      </c>
      <c r="BO10" s="65">
        <v>-115</v>
      </c>
      <c r="BP10" s="94">
        <f t="shared" si="40"/>
        <v>-0.71040276748208553</v>
      </c>
      <c r="BQ10" s="93">
        <f t="shared" si="41"/>
        <v>16215</v>
      </c>
      <c r="BR10" s="65">
        <v>819</v>
      </c>
      <c r="BS10" s="65">
        <v>677</v>
      </c>
      <c r="BT10" s="65">
        <v>142</v>
      </c>
      <c r="BU10" s="94">
        <f t="shared" si="42"/>
        <v>0.88346917190319163</v>
      </c>
      <c r="BV10" s="93">
        <f t="shared" si="43"/>
        <v>16372</v>
      </c>
      <c r="BW10" s="65">
        <v>846</v>
      </c>
      <c r="BX10" s="65">
        <v>689</v>
      </c>
      <c r="BY10" s="65">
        <v>157</v>
      </c>
      <c r="BZ10" s="94">
        <f t="shared" si="44"/>
        <v>0.96823928461301256</v>
      </c>
      <c r="CA10" s="93">
        <f t="shared" si="45"/>
        <v>16360</v>
      </c>
      <c r="CB10" s="65">
        <v>663</v>
      </c>
      <c r="CC10" s="65">
        <v>675</v>
      </c>
      <c r="CD10" s="65">
        <v>-12</v>
      </c>
      <c r="CE10" s="94">
        <f t="shared" si="46"/>
        <v>-7.3295870999267043E-2</v>
      </c>
      <c r="CF10" s="93">
        <f t="shared" si="47"/>
        <v>16351</v>
      </c>
      <c r="CG10" s="65">
        <v>799</v>
      </c>
      <c r="CH10" s="65">
        <v>808</v>
      </c>
      <c r="CI10" s="65">
        <v>-9</v>
      </c>
      <c r="CJ10" s="94">
        <f t="shared" si="48"/>
        <v>-5.5012224938875302E-2</v>
      </c>
      <c r="CK10" s="93">
        <f t="shared" si="49"/>
        <v>16456</v>
      </c>
      <c r="CL10" s="65">
        <v>882</v>
      </c>
      <c r="CM10" s="65">
        <v>777</v>
      </c>
      <c r="CN10" s="65">
        <v>105</v>
      </c>
      <c r="CO10" s="94">
        <f t="shared" si="50"/>
        <v>0.64216255886490126</v>
      </c>
      <c r="CP10" s="93">
        <f t="shared" si="51"/>
        <v>16609</v>
      </c>
      <c r="CQ10" s="65">
        <v>937</v>
      </c>
      <c r="CR10" s="65">
        <v>784</v>
      </c>
      <c r="CS10" s="65">
        <v>153</v>
      </c>
      <c r="CT10" s="94">
        <f t="shared" si="52"/>
        <v>0.92975206611570249</v>
      </c>
      <c r="CU10" s="93">
        <f t="shared" si="53"/>
        <v>16771</v>
      </c>
      <c r="CV10" s="65">
        <v>1000</v>
      </c>
      <c r="CW10" s="65">
        <v>838</v>
      </c>
      <c r="CX10" s="65">
        <v>162</v>
      </c>
      <c r="CY10" s="94">
        <f t="shared" si="54"/>
        <v>0.97537479679691741</v>
      </c>
      <c r="CZ10" s="93">
        <f t="shared" si="55"/>
        <v>16816</v>
      </c>
      <c r="DA10" s="65">
        <v>969</v>
      </c>
      <c r="DB10" s="65">
        <v>924</v>
      </c>
      <c r="DC10" s="65">
        <v>45</v>
      </c>
      <c r="DD10" s="94">
        <f t="shared" si="56"/>
        <v>0.2683203148291694</v>
      </c>
      <c r="DE10" s="93">
        <f t="shared" si="57"/>
        <v>16823</v>
      </c>
      <c r="DF10" s="65">
        <v>893</v>
      </c>
      <c r="DG10" s="65">
        <v>886</v>
      </c>
      <c r="DH10" s="65">
        <v>7</v>
      </c>
      <c r="DI10" s="94">
        <f t="shared" si="58"/>
        <v>4.1627021883920076E-2</v>
      </c>
      <c r="DJ10" s="93">
        <f t="shared" si="59"/>
        <v>16948</v>
      </c>
      <c r="DK10" s="65">
        <v>886</v>
      </c>
      <c r="DL10" s="65">
        <v>761</v>
      </c>
      <c r="DM10" s="65">
        <v>125</v>
      </c>
      <c r="DN10" s="94">
        <f t="shared" si="60"/>
        <v>0.74303037508173342</v>
      </c>
      <c r="DO10" s="93">
        <f t="shared" si="61"/>
        <v>16903</v>
      </c>
      <c r="DP10" s="65">
        <v>782</v>
      </c>
      <c r="DQ10" s="65">
        <v>827</v>
      </c>
      <c r="DR10" s="65">
        <v>-45</v>
      </c>
      <c r="DS10" s="94">
        <f t="shared" si="62"/>
        <v>-0.26551805522775551</v>
      </c>
      <c r="DT10" s="93">
        <f t="shared" si="63"/>
        <v>16975</v>
      </c>
      <c r="DU10" s="65">
        <v>1003</v>
      </c>
      <c r="DV10" s="65">
        <v>931</v>
      </c>
      <c r="DW10" s="65">
        <v>72</v>
      </c>
      <c r="DX10" s="94">
        <f t="shared" si="64"/>
        <v>0.42595988877714014</v>
      </c>
      <c r="DY10" s="93">
        <f t="shared" si="65"/>
        <v>17138</v>
      </c>
      <c r="DZ10" s="65">
        <v>1010</v>
      </c>
      <c r="EA10" s="65">
        <v>847</v>
      </c>
      <c r="EB10" s="65">
        <v>163</v>
      </c>
      <c r="EC10" s="94">
        <f t="shared" si="66"/>
        <v>0.96023564064801181</v>
      </c>
      <c r="ED10" s="93">
        <f t="shared" si="67"/>
        <v>17266</v>
      </c>
      <c r="EE10" s="65">
        <v>1048</v>
      </c>
      <c r="EF10" s="65">
        <v>920</v>
      </c>
      <c r="EG10" s="65">
        <v>128</v>
      </c>
      <c r="EH10" s="94">
        <f t="shared" si="68"/>
        <v>0.746878282179951</v>
      </c>
      <c r="EI10" s="93">
        <f t="shared" si="69"/>
        <v>17421</v>
      </c>
      <c r="EJ10" s="65">
        <v>1071</v>
      </c>
      <c r="EK10" s="65">
        <v>916</v>
      </c>
      <c r="EL10" s="65">
        <v>155</v>
      </c>
      <c r="EM10" s="94">
        <f t="shared" si="70"/>
        <v>0.89771805861230158</v>
      </c>
      <c r="EN10" s="93">
        <f t="shared" si="71"/>
        <v>17452</v>
      </c>
      <c r="EO10" s="65">
        <v>1023</v>
      </c>
      <c r="EP10" s="65">
        <v>992</v>
      </c>
      <c r="EQ10" s="65">
        <v>31</v>
      </c>
      <c r="ER10" s="94">
        <f t="shared" si="72"/>
        <v>0.17794615693703003</v>
      </c>
      <c r="ES10" s="93">
        <f t="shared" si="73"/>
        <v>17544</v>
      </c>
      <c r="ET10" s="65">
        <v>999</v>
      </c>
      <c r="EU10" s="65">
        <v>907</v>
      </c>
      <c r="EV10" s="65">
        <v>92</v>
      </c>
      <c r="EW10" s="94">
        <f t="shared" si="74"/>
        <v>0.52716021086408427</v>
      </c>
      <c r="EX10" s="93">
        <f t="shared" si="75"/>
        <v>17620</v>
      </c>
      <c r="EY10" s="65">
        <v>978</v>
      </c>
      <c r="EZ10" s="65">
        <v>902</v>
      </c>
      <c r="FA10" s="65">
        <v>76</v>
      </c>
      <c r="FB10" s="94">
        <f t="shared" si="76"/>
        <v>0.43319653442772454</v>
      </c>
      <c r="FC10" s="93">
        <f t="shared" si="77"/>
        <v>17745</v>
      </c>
      <c r="FD10" s="65">
        <v>1091</v>
      </c>
      <c r="FE10" s="65">
        <v>966</v>
      </c>
      <c r="FF10" s="65">
        <v>125</v>
      </c>
      <c r="FG10" s="94">
        <f t="shared" si="78"/>
        <v>0.70942111237230421</v>
      </c>
      <c r="FH10" s="93">
        <f t="shared" si="79"/>
        <v>17776</v>
      </c>
      <c r="FI10" s="65">
        <v>956</v>
      </c>
      <c r="FJ10" s="65">
        <v>925</v>
      </c>
      <c r="FK10" s="65">
        <v>31</v>
      </c>
      <c r="FL10" s="94">
        <f t="shared" si="80"/>
        <v>0.17469709777402084</v>
      </c>
      <c r="FM10" s="93">
        <f t="shared" si="81"/>
        <v>17704</v>
      </c>
      <c r="FN10" s="65">
        <v>814</v>
      </c>
      <c r="FO10" s="65">
        <v>886</v>
      </c>
      <c r="FP10" s="65">
        <v>-72</v>
      </c>
      <c r="FQ10" s="94">
        <f t="shared" si="82"/>
        <v>-0.40504050405040504</v>
      </c>
      <c r="FR10" s="93">
        <f t="shared" si="83"/>
        <v>17680</v>
      </c>
      <c r="FS10" s="65">
        <v>813</v>
      </c>
      <c r="FT10" s="65">
        <v>837</v>
      </c>
      <c r="FU10" s="65">
        <v>-24</v>
      </c>
      <c r="FV10" s="94">
        <f t="shared" si="84"/>
        <v>-0.13556258472661548</v>
      </c>
      <c r="FW10" s="93">
        <f t="shared" si="85"/>
        <v>17542</v>
      </c>
      <c r="FX10" s="65">
        <v>573</v>
      </c>
      <c r="FY10" s="65">
        <v>711</v>
      </c>
      <c r="FZ10" s="65">
        <v>-138</v>
      </c>
      <c r="GA10" s="94">
        <f t="shared" si="86"/>
        <v>-0.78054298642533937</v>
      </c>
      <c r="GB10" s="93">
        <f t="shared" si="87"/>
        <v>17501</v>
      </c>
      <c r="GC10" s="65">
        <v>885</v>
      </c>
      <c r="GD10" s="65">
        <v>926</v>
      </c>
      <c r="GE10" s="65">
        <v>-41</v>
      </c>
      <c r="GF10" s="94">
        <f t="shared" si="88"/>
        <v>-0.23372477482613155</v>
      </c>
      <c r="GG10" s="93">
        <f t="shared" si="89"/>
        <v>17426</v>
      </c>
      <c r="GH10" s="65">
        <v>899</v>
      </c>
      <c r="GI10" s="65">
        <v>974</v>
      </c>
      <c r="GJ10" s="65">
        <v>-75</v>
      </c>
      <c r="GK10" s="94">
        <f t="shared" si="90"/>
        <v>-0.42854694017484712</v>
      </c>
      <c r="GL10" s="93">
        <f t="shared" si="91"/>
        <v>17516</v>
      </c>
      <c r="GM10" s="65">
        <v>1039</v>
      </c>
      <c r="GN10" s="65">
        <v>949</v>
      </c>
      <c r="GO10" s="65">
        <v>90</v>
      </c>
      <c r="GP10" s="94">
        <f t="shared" si="92"/>
        <v>0.51646964306209109</v>
      </c>
      <c r="GQ10" s="93">
        <f t="shared" si="93"/>
        <v>17603</v>
      </c>
      <c r="GR10" s="65">
        <v>922</v>
      </c>
      <c r="GS10" s="65">
        <v>835</v>
      </c>
      <c r="GT10" s="65">
        <v>87</v>
      </c>
      <c r="GU10" s="94">
        <f t="shared" si="94"/>
        <v>0.49668874172185434</v>
      </c>
      <c r="GV10" s="93">
        <f t="shared" si="95"/>
        <v>17778</v>
      </c>
      <c r="GW10" s="65">
        <v>1065</v>
      </c>
      <c r="GX10" s="65">
        <v>890</v>
      </c>
      <c r="GY10" s="65">
        <v>175</v>
      </c>
      <c r="GZ10" s="94">
        <f t="shared" si="96"/>
        <v>0.99414872464920756</v>
      </c>
      <c r="HA10" s="93">
        <f t="shared" si="97"/>
        <v>17819</v>
      </c>
      <c r="HB10" s="65">
        <v>1050</v>
      </c>
      <c r="HC10" s="65">
        <v>1009</v>
      </c>
      <c r="HD10" s="65">
        <v>41</v>
      </c>
      <c r="HE10" s="94">
        <f t="shared" si="98"/>
        <v>0.23062211722353468</v>
      </c>
      <c r="HF10" s="93">
        <f t="shared" si="99"/>
        <v>17870</v>
      </c>
      <c r="HG10" s="65">
        <v>1042</v>
      </c>
      <c r="HH10" s="65">
        <v>991</v>
      </c>
      <c r="HI10" s="65">
        <v>51</v>
      </c>
      <c r="HJ10" s="94">
        <f t="shared" si="100"/>
        <v>0.28621134743812787</v>
      </c>
      <c r="HK10" s="93">
        <f t="shared" si="101"/>
        <v>17876</v>
      </c>
      <c r="HL10" s="65">
        <v>997</v>
      </c>
      <c r="HM10" s="65">
        <v>991</v>
      </c>
      <c r="HN10" s="65">
        <v>6</v>
      </c>
      <c r="HO10" s="94">
        <f t="shared" si="102"/>
        <v>3.3575825405707888E-2</v>
      </c>
      <c r="HP10" s="93">
        <f t="shared" si="103"/>
        <v>17852</v>
      </c>
      <c r="HQ10" s="65">
        <v>876</v>
      </c>
      <c r="HR10" s="65">
        <v>900</v>
      </c>
      <c r="HS10" s="65">
        <v>-24</v>
      </c>
      <c r="HT10" s="94">
        <f t="shared" si="104"/>
        <v>-0.13425822331617812</v>
      </c>
      <c r="HU10" s="93">
        <f t="shared" si="105"/>
        <v>17969</v>
      </c>
      <c r="HV10" s="65">
        <v>1027</v>
      </c>
      <c r="HW10" s="65">
        <v>910</v>
      </c>
      <c r="HX10" s="65">
        <v>117</v>
      </c>
      <c r="HY10" s="94">
        <f t="shared" si="106"/>
        <v>0.65538875196056467</v>
      </c>
      <c r="HZ10" s="93">
        <f t="shared" si="107"/>
        <v>18009</v>
      </c>
      <c r="IA10" s="65">
        <v>934</v>
      </c>
      <c r="IB10" s="65">
        <v>894</v>
      </c>
      <c r="IC10" s="65">
        <v>40</v>
      </c>
      <c r="ID10" s="94">
        <f t="shared" si="108"/>
        <v>0.22260559853080308</v>
      </c>
      <c r="IE10" s="93">
        <v>17988</v>
      </c>
      <c r="IF10" s="65">
        <v>753</v>
      </c>
      <c r="IG10" s="65">
        <v>774</v>
      </c>
      <c r="IH10" s="65">
        <v>-21</v>
      </c>
      <c r="II10" s="94">
        <f t="shared" si="109"/>
        <v>-0.11660836248542396</v>
      </c>
      <c r="IJ10" s="93">
        <f t="shared" si="110"/>
        <v>18004</v>
      </c>
      <c r="IK10" s="65">
        <v>842</v>
      </c>
      <c r="IL10" s="65">
        <v>826</v>
      </c>
      <c r="IM10" s="65">
        <v>16</v>
      </c>
      <c r="IN10" s="94">
        <f t="shared" si="111"/>
        <v>8.8948187680676E-2</v>
      </c>
      <c r="IO10" s="93">
        <f t="shared" si="112"/>
        <v>18044</v>
      </c>
      <c r="IP10" s="65">
        <v>1054</v>
      </c>
      <c r="IQ10" s="65">
        <v>1014</v>
      </c>
      <c r="IR10" s="65">
        <v>40</v>
      </c>
      <c r="IS10" s="94">
        <f t="shared" si="113"/>
        <v>0.2221728504776716</v>
      </c>
      <c r="IT10" s="93">
        <f t="shared" si="114"/>
        <v>18125</v>
      </c>
      <c r="IU10" s="65">
        <v>1014</v>
      </c>
      <c r="IV10" s="65">
        <v>933</v>
      </c>
      <c r="IW10" s="65">
        <v>81</v>
      </c>
      <c r="IX10" s="94">
        <f t="shared" si="115"/>
        <v>0.44890268233207709</v>
      </c>
      <c r="IY10" s="93">
        <f t="shared" si="116"/>
        <v>18091</v>
      </c>
      <c r="IZ10" s="65">
        <v>948</v>
      </c>
      <c r="JA10" s="65">
        <v>982</v>
      </c>
      <c r="JB10" s="65">
        <v>-34</v>
      </c>
      <c r="JC10" s="94">
        <f t="shared" si="117"/>
        <v>-0.18758620689655173</v>
      </c>
      <c r="JD10" s="93">
        <f t="shared" si="118"/>
        <v>18114</v>
      </c>
      <c r="JE10" s="65">
        <v>971</v>
      </c>
      <c r="JF10" s="65">
        <v>948</v>
      </c>
      <c r="JG10" s="65">
        <v>23</v>
      </c>
      <c r="JH10" s="94">
        <f t="shared" si="119"/>
        <v>0.12713503952241445</v>
      </c>
      <c r="JI10" s="93">
        <f t="shared" si="120"/>
        <v>18167</v>
      </c>
      <c r="JJ10" s="65">
        <v>1012</v>
      </c>
      <c r="JK10" s="65">
        <v>959</v>
      </c>
      <c r="JL10" s="65">
        <v>53</v>
      </c>
      <c r="JM10" s="94">
        <f t="shared" si="121"/>
        <v>0.29259136579441314</v>
      </c>
      <c r="JN10" s="93">
        <f t="shared" si="122"/>
        <v>18519</v>
      </c>
      <c r="JO10" s="65">
        <v>1339</v>
      </c>
      <c r="JP10" s="65">
        <v>987</v>
      </c>
      <c r="JQ10" s="65">
        <v>352</v>
      </c>
      <c r="JR10" s="94">
        <f t="shared" si="123"/>
        <v>1.9375791269884954</v>
      </c>
      <c r="JS10" s="93">
        <f t="shared" si="124"/>
        <v>18566</v>
      </c>
      <c r="JT10" s="65">
        <v>1082</v>
      </c>
      <c r="JU10" s="65">
        <v>1035</v>
      </c>
      <c r="JV10" s="65">
        <v>47</v>
      </c>
      <c r="JW10" s="94">
        <f t="shared" si="125"/>
        <v>0.25379340137156436</v>
      </c>
      <c r="JX10" s="93">
        <f t="shared" si="126"/>
        <v>18653</v>
      </c>
      <c r="JY10" s="65">
        <v>997</v>
      </c>
      <c r="JZ10" s="65">
        <v>910</v>
      </c>
      <c r="KA10" s="65">
        <v>87</v>
      </c>
      <c r="KB10" s="94">
        <f t="shared" si="127"/>
        <v>0.46859851341161263</v>
      </c>
      <c r="KC10" s="93">
        <f t="shared" si="128"/>
        <v>18656</v>
      </c>
      <c r="KD10" s="65">
        <v>1018</v>
      </c>
      <c r="KE10" s="65">
        <v>1015</v>
      </c>
      <c r="KF10" s="65">
        <v>3</v>
      </c>
      <c r="KG10" s="94">
        <f t="shared" si="129"/>
        <v>1.6083203774191819E-2</v>
      </c>
      <c r="KH10" s="93">
        <f t="shared" si="130"/>
        <v>18708</v>
      </c>
      <c r="KI10" s="65">
        <v>879</v>
      </c>
      <c r="KJ10" s="65">
        <v>827</v>
      </c>
      <c r="KK10" s="65">
        <v>52</v>
      </c>
      <c r="KL10" s="94">
        <f t="shared" si="131"/>
        <v>0.27873070325900517</v>
      </c>
      <c r="KM10" s="93">
        <f t="shared" si="132"/>
        <v>18597</v>
      </c>
      <c r="KN10" s="65">
        <v>679</v>
      </c>
      <c r="KO10" s="65">
        <v>790</v>
      </c>
      <c r="KP10" s="65">
        <v>-111</v>
      </c>
      <c r="KQ10" s="94">
        <f t="shared" si="133"/>
        <v>-0.59332905708787687</v>
      </c>
      <c r="KR10" s="93">
        <f t="shared" si="134"/>
        <v>18618</v>
      </c>
      <c r="KS10" s="65">
        <v>952</v>
      </c>
      <c r="KT10" s="65">
        <v>931</v>
      </c>
      <c r="KU10" s="65">
        <v>21</v>
      </c>
      <c r="KV10" s="94">
        <f t="shared" si="135"/>
        <v>0.1129214389417648</v>
      </c>
      <c r="KW10" s="93">
        <f t="shared" si="136"/>
        <v>18623</v>
      </c>
      <c r="KX10" s="65">
        <v>1013</v>
      </c>
      <c r="KY10" s="65">
        <v>1008</v>
      </c>
      <c r="KZ10" s="65">
        <v>5</v>
      </c>
      <c r="LA10" s="94">
        <f t="shared" si="137"/>
        <v>2.6855731012998176E-2</v>
      </c>
      <c r="LB10" s="93">
        <f t="shared" si="138"/>
        <v>18634</v>
      </c>
      <c r="LC10" s="65">
        <v>997</v>
      </c>
      <c r="LD10" s="65">
        <v>986</v>
      </c>
      <c r="LE10" s="65">
        <v>11</v>
      </c>
      <c r="LF10" s="94">
        <f t="shared" si="139"/>
        <v>5.9066745422327233E-2</v>
      </c>
      <c r="LG10" s="93">
        <f t="shared" si="140"/>
        <v>18658</v>
      </c>
      <c r="LH10" s="65">
        <v>1021</v>
      </c>
      <c r="LI10" s="65">
        <v>997</v>
      </c>
      <c r="LJ10" s="65">
        <v>24</v>
      </c>
      <c r="LK10" s="94">
        <f t="shared" si="141"/>
        <v>0.12879682301169904</v>
      </c>
      <c r="LL10" s="93">
        <f t="shared" si="142"/>
        <v>18793</v>
      </c>
      <c r="LM10" s="65">
        <v>1095</v>
      </c>
      <c r="LN10" s="65">
        <v>960</v>
      </c>
      <c r="LO10" s="65">
        <v>135</v>
      </c>
      <c r="LP10" s="94">
        <f t="shared" si="143"/>
        <v>0.72355021974488154</v>
      </c>
      <c r="LQ10" s="93">
        <f t="shared" si="144"/>
        <v>18770</v>
      </c>
      <c r="LR10" s="65">
        <v>993</v>
      </c>
      <c r="LS10" s="65">
        <v>1016</v>
      </c>
      <c r="LT10" s="65">
        <v>-23</v>
      </c>
      <c r="LU10" s="94">
        <f t="shared" si="145"/>
        <v>-0.12238599478529238</v>
      </c>
      <c r="LV10" s="93">
        <f t="shared" si="146"/>
        <v>18777</v>
      </c>
      <c r="LW10" s="65">
        <v>1056</v>
      </c>
      <c r="LX10" s="65">
        <v>1049</v>
      </c>
      <c r="LY10" s="65">
        <v>7</v>
      </c>
      <c r="LZ10" s="94">
        <f t="shared" si="147"/>
        <v>3.7293553542887582E-2</v>
      </c>
      <c r="MA10" s="93">
        <f t="shared" si="0"/>
        <v>18874</v>
      </c>
      <c r="MB10" s="65">
        <v>1056</v>
      </c>
      <c r="MC10" s="65">
        <v>959</v>
      </c>
      <c r="MD10" s="65">
        <v>97</v>
      </c>
      <c r="ME10" s="94">
        <f t="shared" si="1"/>
        <v>0.51658944453320554</v>
      </c>
      <c r="MF10" s="93">
        <f t="shared" si="2"/>
        <v>18995</v>
      </c>
      <c r="MG10" s="65">
        <v>1088</v>
      </c>
      <c r="MH10" s="65">
        <v>967</v>
      </c>
      <c r="MI10" s="65">
        <v>121</v>
      </c>
      <c r="MJ10" s="94">
        <f t="shared" si="3"/>
        <v>0.64109356787114546</v>
      </c>
      <c r="MK10" s="93">
        <f t="shared" si="4"/>
        <v>19074</v>
      </c>
      <c r="ML10" s="65">
        <v>1113</v>
      </c>
      <c r="MM10" s="65">
        <v>1034</v>
      </c>
      <c r="MN10" s="65">
        <v>79</v>
      </c>
      <c r="MO10" s="94">
        <f t="shared" si="5"/>
        <v>0.41589892076862328</v>
      </c>
      <c r="MP10" s="93">
        <f t="shared" si="6"/>
        <v>19028</v>
      </c>
      <c r="MQ10" s="65">
        <v>829</v>
      </c>
      <c r="MR10" s="65">
        <v>875</v>
      </c>
      <c r="MS10" s="65">
        <v>-46</v>
      </c>
      <c r="MT10" s="94">
        <f t="shared" si="7"/>
        <v>-0.24116598511062182</v>
      </c>
      <c r="MU10" s="93">
        <f t="shared" si="8"/>
        <v>18855</v>
      </c>
      <c r="MV10" s="65">
        <v>646</v>
      </c>
      <c r="MW10" s="65">
        <v>819</v>
      </c>
      <c r="MX10" s="65">
        <v>-173</v>
      </c>
      <c r="MY10" s="94">
        <v>-0.90533256530761719</v>
      </c>
      <c r="MZ10" s="93">
        <f t="shared" si="9"/>
        <v>18885</v>
      </c>
      <c r="NA10" s="65">
        <v>984</v>
      </c>
      <c r="NB10" s="65">
        <v>954</v>
      </c>
      <c r="NC10" s="65">
        <v>30</v>
      </c>
      <c r="ND10" s="108">
        <v>0.15836147964000702</v>
      </c>
      <c r="NE10" s="110">
        <f t="shared" si="10"/>
        <v>18808</v>
      </c>
      <c r="NF10" s="110">
        <v>963</v>
      </c>
      <c r="NG10" s="110">
        <v>1040</v>
      </c>
      <c r="NH10" s="110">
        <v>-77</v>
      </c>
      <c r="NI10" s="108">
        <f t="shared" si="11"/>
        <v>-0.40940025521054874</v>
      </c>
      <c r="NJ10" s="110">
        <f t="shared" si="12"/>
        <v>18753</v>
      </c>
      <c r="NK10" s="93">
        <v>1096</v>
      </c>
      <c r="NL10" s="93">
        <v>1151</v>
      </c>
      <c r="NM10" s="93">
        <v>-55</v>
      </c>
      <c r="NN10" s="108">
        <f t="shared" si="13"/>
        <v>-0.29328640750813206</v>
      </c>
      <c r="NO10" s="93">
        <f t="shared" si="148"/>
        <v>3043</v>
      </c>
      <c r="NP10" s="93">
        <f t="shared" si="14"/>
        <v>3145</v>
      </c>
      <c r="NQ10" s="93">
        <f t="shared" si="14"/>
        <v>-102</v>
      </c>
      <c r="NR10" s="94">
        <f t="shared" si="149"/>
        <v>-0.5409705648369133</v>
      </c>
      <c r="NS10" s="59">
        <f t="shared" si="150"/>
        <v>11940</v>
      </c>
      <c r="NT10" s="59">
        <f t="shared" si="15"/>
        <v>11821</v>
      </c>
      <c r="NU10" s="59">
        <f t="shared" si="15"/>
        <v>119</v>
      </c>
      <c r="NV10" s="94">
        <f t="shared" si="151"/>
        <v>0.63861758076634112</v>
      </c>
      <c r="NW10" s="12"/>
    </row>
  </sheetData>
  <autoFilter ref="B5:D6" xr:uid="{743591F6-9E9A-42D5-8016-8872ADD985FA}"/>
  <mergeCells count="80">
    <mergeCell ref="NJ5:NN5"/>
    <mergeCell ref="HZ5:ID5"/>
    <mergeCell ref="IE5:II5"/>
    <mergeCell ref="B5:B6"/>
    <mergeCell ref="C5:C6"/>
    <mergeCell ref="D5:D6"/>
    <mergeCell ref="HP5:HT5"/>
    <mergeCell ref="HU5:HY5"/>
    <mergeCell ref="E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  <mergeCell ref="CU5:CY5"/>
    <mergeCell ref="CZ5:DD5"/>
    <mergeCell ref="DE5:DI5"/>
    <mergeCell ref="DJ5:DN5"/>
    <mergeCell ref="JI5:JM5"/>
    <mergeCell ref="DO5:DS5"/>
    <mergeCell ref="DT5:DX5"/>
    <mergeCell ref="JD5:JH5"/>
    <mergeCell ref="DY5:EC5"/>
    <mergeCell ref="ED5:EH5"/>
    <mergeCell ref="EI5:EM5"/>
    <mergeCell ref="EN5:ER5"/>
    <mergeCell ref="ES5:EW5"/>
    <mergeCell ref="IO5:IS5"/>
    <mergeCell ref="GG5:GK5"/>
    <mergeCell ref="GL5:GP5"/>
    <mergeCell ref="EX5:FB5"/>
    <mergeCell ref="FC5:FG5"/>
    <mergeCell ref="FH5:FL5"/>
    <mergeCell ref="FM5:FQ5"/>
    <mergeCell ref="FR5:FV5"/>
    <mergeCell ref="IT5:IX5"/>
    <mergeCell ref="IY5:JC5"/>
    <mergeCell ref="JN5:JR5"/>
    <mergeCell ref="FW5:GA5"/>
    <mergeCell ref="GB5:GF5"/>
    <mergeCell ref="IJ5:IN5"/>
    <mergeCell ref="HA5:HE5"/>
    <mergeCell ref="HF5:HJ5"/>
    <mergeCell ref="HK5:HO5"/>
    <mergeCell ref="GQ5:GU5"/>
    <mergeCell ref="GV5:GZ5"/>
    <mergeCell ref="LB5:LF5"/>
    <mergeCell ref="KR5:KV5"/>
    <mergeCell ref="KM5:KQ5"/>
    <mergeCell ref="JX5:KB5"/>
    <mergeCell ref="JS5:JW5"/>
    <mergeCell ref="NE5:NI5"/>
    <mergeCell ref="NO5:NR5"/>
    <mergeCell ref="NS5:NV5"/>
    <mergeCell ref="MZ5:ND5"/>
    <mergeCell ref="KC5:KG5"/>
    <mergeCell ref="KW5:LA5"/>
    <mergeCell ref="KH5:KL5"/>
    <mergeCell ref="LG5:LK5"/>
    <mergeCell ref="LL5:LP5"/>
    <mergeCell ref="LQ5:LU5"/>
    <mergeCell ref="LV5:LZ5"/>
    <mergeCell ref="MA5:ME5"/>
    <mergeCell ref="MF5:MJ5"/>
    <mergeCell ref="MK5:MO5"/>
    <mergeCell ref="MP5:MT5"/>
    <mergeCell ref="MU5:MY5"/>
  </mergeCells>
  <pageMargins left="0.23622047244094491" right="0.23622047244094491" top="0.74803149606299213" bottom="0.74803149606299213" header="0.31496062992125984" footer="0.31496062992125984"/>
  <pageSetup paperSize="9" scale="50" orientation="portrait" r:id="rId1"/>
  <headerFooter>
    <oddFooter>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FC91-C4BF-4CCA-852E-C4EF3518CBCA}">
  <dimension ref="A1:NW10"/>
  <sheetViews>
    <sheetView showGridLines="0" zoomScaleNormal="100" workbookViewId="0">
      <pane xSplit="4" ySplit="6" topLeftCell="E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RowHeight="15" customHeight="1"/>
  <cols>
    <col min="1" max="1" width="0.7109375" customWidth="1"/>
    <col min="2" max="3" width="16.7109375" customWidth="1"/>
    <col min="4" max="4" width="33.42578125" customWidth="1"/>
    <col min="5" max="252" width="16.28515625" customWidth="1"/>
    <col min="253" max="253" width="16.140625" customWidth="1"/>
    <col min="254" max="257" width="16.28515625" customWidth="1"/>
    <col min="258" max="258" width="16.140625" customWidth="1"/>
    <col min="259" max="262" width="16.28515625" customWidth="1"/>
    <col min="263" max="263" width="16.140625" customWidth="1"/>
    <col min="264" max="267" width="16.28515625" customWidth="1"/>
    <col min="268" max="268" width="16.140625" customWidth="1"/>
    <col min="269" max="272" width="16.28515625" customWidth="1"/>
    <col min="273" max="273" width="16.140625" customWidth="1"/>
    <col min="274" max="277" width="16.28515625" customWidth="1"/>
    <col min="278" max="278" width="16.140625" customWidth="1"/>
    <col min="279" max="282" width="16.28515625" customWidth="1"/>
    <col min="283" max="283" width="16.140625" customWidth="1"/>
    <col min="284" max="287" width="16.28515625" customWidth="1"/>
    <col min="288" max="288" width="16.140625" customWidth="1"/>
    <col min="289" max="292" width="16.28515625" customWidth="1"/>
    <col min="293" max="293" width="16.140625" customWidth="1"/>
    <col min="294" max="297" width="16.28515625" customWidth="1"/>
    <col min="298" max="298" width="16.140625" customWidth="1"/>
    <col min="299" max="302" width="16.28515625" customWidth="1"/>
    <col min="303" max="303" width="16.140625" customWidth="1"/>
    <col min="304" max="306" width="16.28515625" customWidth="1"/>
    <col min="307" max="308" width="16.140625" customWidth="1"/>
    <col min="309" max="311" width="16.28515625" customWidth="1"/>
    <col min="312" max="313" width="16.140625" customWidth="1"/>
    <col min="314" max="316" width="16.28515625" customWidth="1"/>
    <col min="317" max="318" width="16.140625" customWidth="1"/>
    <col min="319" max="321" width="16.28515625" customWidth="1"/>
    <col min="322" max="323" width="16.140625" customWidth="1"/>
    <col min="324" max="326" width="16.28515625" customWidth="1"/>
    <col min="327" max="328" width="16.140625" customWidth="1"/>
    <col min="329" max="331" width="16.28515625" customWidth="1"/>
    <col min="332" max="333" width="16.140625" customWidth="1"/>
    <col min="334" max="336" width="16.28515625" customWidth="1"/>
    <col min="337" max="338" width="16.140625" customWidth="1"/>
    <col min="339" max="341" width="16.28515625" customWidth="1"/>
    <col min="342" max="343" width="16.140625" customWidth="1"/>
    <col min="344" max="346" width="16.28515625" customWidth="1"/>
    <col min="347" max="348" width="16.140625" customWidth="1"/>
    <col min="349" max="351" width="16.28515625" customWidth="1"/>
    <col min="352" max="353" width="16.140625" customWidth="1"/>
    <col min="354" max="356" width="16.28515625" customWidth="1"/>
    <col min="357" max="358" width="16.140625" customWidth="1"/>
    <col min="359" max="361" width="16.28515625" customWidth="1"/>
    <col min="362" max="363" width="16.140625" customWidth="1"/>
    <col min="364" max="366" width="16.28515625" customWidth="1"/>
    <col min="367" max="386" width="16.140625" customWidth="1"/>
    <col min="387" max="387" width="0.7109375" customWidth="1"/>
    <col min="388" max="393" width="12.42578125" bestFit="1" customWidth="1"/>
    <col min="610" max="610" width="33.42578125" bestFit="1" customWidth="1"/>
    <col min="611" max="628" width="12" customWidth="1"/>
    <col min="630" max="630" width="33.42578125" bestFit="1" customWidth="1"/>
    <col min="631" max="631" width="10.5703125" customWidth="1"/>
    <col min="632" max="632" width="24.42578125" customWidth="1"/>
    <col min="633" max="633" width="17.5703125" customWidth="1"/>
    <col min="866" max="866" width="33.42578125" bestFit="1" customWidth="1"/>
    <col min="867" max="884" width="12" customWidth="1"/>
    <col min="886" max="886" width="33.42578125" bestFit="1" customWidth="1"/>
    <col min="887" max="887" width="10.5703125" customWidth="1"/>
    <col min="888" max="888" width="24.42578125" customWidth="1"/>
    <col min="889" max="889" width="17.5703125" customWidth="1"/>
    <col min="1122" max="1122" width="33.42578125" bestFit="1" customWidth="1"/>
    <col min="1123" max="1140" width="12" customWidth="1"/>
    <col min="1142" max="1142" width="33.42578125" bestFit="1" customWidth="1"/>
    <col min="1143" max="1143" width="10.5703125" customWidth="1"/>
    <col min="1144" max="1144" width="24.42578125" customWidth="1"/>
    <col min="1145" max="1145" width="17.5703125" customWidth="1"/>
    <col min="1378" max="1378" width="33.42578125" bestFit="1" customWidth="1"/>
    <col min="1379" max="1396" width="12" customWidth="1"/>
    <col min="1398" max="1398" width="33.42578125" bestFit="1" customWidth="1"/>
    <col min="1399" max="1399" width="10.5703125" customWidth="1"/>
    <col min="1400" max="1400" width="24.42578125" customWidth="1"/>
    <col min="1401" max="1401" width="17.5703125" customWidth="1"/>
    <col min="1634" max="1634" width="33.42578125" bestFit="1" customWidth="1"/>
    <col min="1635" max="1652" width="12" customWidth="1"/>
    <col min="1654" max="1654" width="33.42578125" bestFit="1" customWidth="1"/>
    <col min="1655" max="1655" width="10.5703125" customWidth="1"/>
    <col min="1656" max="1656" width="24.42578125" customWidth="1"/>
    <col min="1657" max="1657" width="17.5703125" customWidth="1"/>
    <col min="1890" max="1890" width="33.42578125" bestFit="1" customWidth="1"/>
    <col min="1891" max="1908" width="12" customWidth="1"/>
    <col min="1910" max="1910" width="33.42578125" bestFit="1" customWidth="1"/>
    <col min="1911" max="1911" width="10.5703125" customWidth="1"/>
    <col min="1912" max="1912" width="24.42578125" customWidth="1"/>
    <col min="1913" max="1913" width="17.5703125" customWidth="1"/>
    <col min="2146" max="2146" width="33.42578125" bestFit="1" customWidth="1"/>
    <col min="2147" max="2164" width="12" customWidth="1"/>
    <col min="2166" max="2166" width="33.42578125" bestFit="1" customWidth="1"/>
    <col min="2167" max="2167" width="10.5703125" customWidth="1"/>
    <col min="2168" max="2168" width="24.42578125" customWidth="1"/>
    <col min="2169" max="2169" width="17.5703125" customWidth="1"/>
    <col min="2402" max="2402" width="33.42578125" bestFit="1" customWidth="1"/>
    <col min="2403" max="2420" width="12" customWidth="1"/>
    <col min="2422" max="2422" width="33.42578125" bestFit="1" customWidth="1"/>
    <col min="2423" max="2423" width="10.5703125" customWidth="1"/>
    <col min="2424" max="2424" width="24.42578125" customWidth="1"/>
    <col min="2425" max="2425" width="17.5703125" customWidth="1"/>
    <col min="2658" max="2658" width="33.42578125" bestFit="1" customWidth="1"/>
    <col min="2659" max="2676" width="12" customWidth="1"/>
    <col min="2678" max="2678" width="33.42578125" bestFit="1" customWidth="1"/>
    <col min="2679" max="2679" width="10.5703125" customWidth="1"/>
    <col min="2680" max="2680" width="24.42578125" customWidth="1"/>
    <col min="2681" max="2681" width="17.5703125" customWidth="1"/>
    <col min="2914" max="2914" width="33.42578125" bestFit="1" customWidth="1"/>
    <col min="2915" max="2932" width="12" customWidth="1"/>
    <col min="2934" max="2934" width="33.42578125" bestFit="1" customWidth="1"/>
    <col min="2935" max="2935" width="10.5703125" customWidth="1"/>
    <col min="2936" max="2936" width="24.42578125" customWidth="1"/>
    <col min="2937" max="2937" width="17.5703125" customWidth="1"/>
    <col min="3170" max="3170" width="33.42578125" bestFit="1" customWidth="1"/>
    <col min="3171" max="3188" width="12" customWidth="1"/>
    <col min="3190" max="3190" width="33.42578125" bestFit="1" customWidth="1"/>
    <col min="3191" max="3191" width="10.5703125" customWidth="1"/>
    <col min="3192" max="3192" width="24.42578125" customWidth="1"/>
    <col min="3193" max="3193" width="17.5703125" customWidth="1"/>
    <col min="3426" max="3426" width="33.42578125" bestFit="1" customWidth="1"/>
    <col min="3427" max="3444" width="12" customWidth="1"/>
    <col min="3446" max="3446" width="33.42578125" bestFit="1" customWidth="1"/>
    <col min="3447" max="3447" width="10.5703125" customWidth="1"/>
    <col min="3448" max="3448" width="24.42578125" customWidth="1"/>
    <col min="3449" max="3449" width="17.5703125" customWidth="1"/>
    <col min="3682" max="3682" width="33.42578125" bestFit="1" customWidth="1"/>
    <col min="3683" max="3700" width="12" customWidth="1"/>
    <col min="3702" max="3702" width="33.42578125" bestFit="1" customWidth="1"/>
    <col min="3703" max="3703" width="10.5703125" customWidth="1"/>
    <col min="3704" max="3704" width="24.42578125" customWidth="1"/>
    <col min="3705" max="3705" width="17.5703125" customWidth="1"/>
    <col min="3938" max="3938" width="33.42578125" bestFit="1" customWidth="1"/>
    <col min="3939" max="3956" width="12" customWidth="1"/>
    <col min="3958" max="3958" width="33.42578125" bestFit="1" customWidth="1"/>
    <col min="3959" max="3959" width="10.5703125" customWidth="1"/>
    <col min="3960" max="3960" width="24.42578125" customWidth="1"/>
    <col min="3961" max="3961" width="17.5703125" customWidth="1"/>
    <col min="4194" max="4194" width="33.42578125" bestFit="1" customWidth="1"/>
    <col min="4195" max="4212" width="12" customWidth="1"/>
    <col min="4214" max="4214" width="33.42578125" bestFit="1" customWidth="1"/>
    <col min="4215" max="4215" width="10.5703125" customWidth="1"/>
    <col min="4216" max="4216" width="24.42578125" customWidth="1"/>
    <col min="4217" max="4217" width="17.5703125" customWidth="1"/>
    <col min="4450" max="4450" width="33.42578125" bestFit="1" customWidth="1"/>
    <col min="4451" max="4468" width="12" customWidth="1"/>
    <col min="4470" max="4470" width="33.42578125" bestFit="1" customWidth="1"/>
    <col min="4471" max="4471" width="10.5703125" customWidth="1"/>
    <col min="4472" max="4472" width="24.42578125" customWidth="1"/>
    <col min="4473" max="4473" width="17.5703125" customWidth="1"/>
    <col min="4706" max="4706" width="33.42578125" bestFit="1" customWidth="1"/>
    <col min="4707" max="4724" width="12" customWidth="1"/>
    <col min="4726" max="4726" width="33.42578125" bestFit="1" customWidth="1"/>
    <col min="4727" max="4727" width="10.5703125" customWidth="1"/>
    <col min="4728" max="4728" width="24.42578125" customWidth="1"/>
    <col min="4729" max="4729" width="17.5703125" customWidth="1"/>
    <col min="4962" max="4962" width="33.42578125" bestFit="1" customWidth="1"/>
    <col min="4963" max="4980" width="12" customWidth="1"/>
    <col min="4982" max="4982" width="33.42578125" bestFit="1" customWidth="1"/>
    <col min="4983" max="4983" width="10.5703125" customWidth="1"/>
    <col min="4984" max="4984" width="24.42578125" customWidth="1"/>
    <col min="4985" max="4985" width="17.5703125" customWidth="1"/>
    <col min="5218" max="5218" width="33.42578125" bestFit="1" customWidth="1"/>
    <col min="5219" max="5236" width="12" customWidth="1"/>
    <col min="5238" max="5238" width="33.42578125" bestFit="1" customWidth="1"/>
    <col min="5239" max="5239" width="10.5703125" customWidth="1"/>
    <col min="5240" max="5240" width="24.42578125" customWidth="1"/>
    <col min="5241" max="5241" width="17.5703125" customWidth="1"/>
    <col min="5474" max="5474" width="33.42578125" bestFit="1" customWidth="1"/>
    <col min="5475" max="5492" width="12" customWidth="1"/>
    <col min="5494" max="5494" width="33.42578125" bestFit="1" customWidth="1"/>
    <col min="5495" max="5495" width="10.5703125" customWidth="1"/>
    <col min="5496" max="5496" width="24.42578125" customWidth="1"/>
    <col min="5497" max="5497" width="17.5703125" customWidth="1"/>
    <col min="5730" max="5730" width="33.42578125" bestFit="1" customWidth="1"/>
    <col min="5731" max="5748" width="12" customWidth="1"/>
    <col min="5750" max="5750" width="33.42578125" bestFit="1" customWidth="1"/>
    <col min="5751" max="5751" width="10.5703125" customWidth="1"/>
    <col min="5752" max="5752" width="24.42578125" customWidth="1"/>
    <col min="5753" max="5753" width="17.5703125" customWidth="1"/>
    <col min="5986" max="5986" width="33.42578125" bestFit="1" customWidth="1"/>
    <col min="5987" max="6004" width="12" customWidth="1"/>
    <col min="6006" max="6006" width="33.42578125" bestFit="1" customWidth="1"/>
    <col min="6007" max="6007" width="10.5703125" customWidth="1"/>
    <col min="6008" max="6008" width="24.42578125" customWidth="1"/>
    <col min="6009" max="6009" width="17.5703125" customWidth="1"/>
    <col min="6242" max="6242" width="33.42578125" bestFit="1" customWidth="1"/>
    <col min="6243" max="6260" width="12" customWidth="1"/>
    <col min="6262" max="6262" width="33.42578125" bestFit="1" customWidth="1"/>
    <col min="6263" max="6263" width="10.5703125" customWidth="1"/>
    <col min="6264" max="6264" width="24.42578125" customWidth="1"/>
    <col min="6265" max="6265" width="17.5703125" customWidth="1"/>
    <col min="6498" max="6498" width="33.42578125" bestFit="1" customWidth="1"/>
    <col min="6499" max="6516" width="12" customWidth="1"/>
    <col min="6518" max="6518" width="33.42578125" bestFit="1" customWidth="1"/>
    <col min="6519" max="6519" width="10.5703125" customWidth="1"/>
    <col min="6520" max="6520" width="24.42578125" customWidth="1"/>
    <col min="6521" max="6521" width="17.5703125" customWidth="1"/>
    <col min="6754" max="6754" width="33.42578125" bestFit="1" customWidth="1"/>
    <col min="6755" max="6772" width="12" customWidth="1"/>
    <col min="6774" max="6774" width="33.42578125" bestFit="1" customWidth="1"/>
    <col min="6775" max="6775" width="10.5703125" customWidth="1"/>
    <col min="6776" max="6776" width="24.42578125" customWidth="1"/>
    <col min="6777" max="6777" width="17.5703125" customWidth="1"/>
    <col min="7010" max="7010" width="33.42578125" bestFit="1" customWidth="1"/>
    <col min="7011" max="7028" width="12" customWidth="1"/>
    <col min="7030" max="7030" width="33.42578125" bestFit="1" customWidth="1"/>
    <col min="7031" max="7031" width="10.5703125" customWidth="1"/>
    <col min="7032" max="7032" width="24.42578125" customWidth="1"/>
    <col min="7033" max="7033" width="17.5703125" customWidth="1"/>
    <col min="7266" max="7266" width="33.42578125" bestFit="1" customWidth="1"/>
    <col min="7267" max="7284" width="12" customWidth="1"/>
    <col min="7286" max="7286" width="33.42578125" bestFit="1" customWidth="1"/>
    <col min="7287" max="7287" width="10.5703125" customWidth="1"/>
    <col min="7288" max="7288" width="24.42578125" customWidth="1"/>
    <col min="7289" max="7289" width="17.5703125" customWidth="1"/>
    <col min="7522" max="7522" width="33.42578125" bestFit="1" customWidth="1"/>
    <col min="7523" max="7540" width="12" customWidth="1"/>
    <col min="7542" max="7542" width="33.42578125" bestFit="1" customWidth="1"/>
    <col min="7543" max="7543" width="10.5703125" customWidth="1"/>
    <col min="7544" max="7544" width="24.42578125" customWidth="1"/>
    <col min="7545" max="7545" width="17.5703125" customWidth="1"/>
    <col min="7778" max="7778" width="33.42578125" bestFit="1" customWidth="1"/>
    <col min="7779" max="7796" width="12" customWidth="1"/>
    <col min="7798" max="7798" width="33.42578125" bestFit="1" customWidth="1"/>
    <col min="7799" max="7799" width="10.5703125" customWidth="1"/>
    <col min="7800" max="7800" width="24.42578125" customWidth="1"/>
    <col min="7801" max="7801" width="17.5703125" customWidth="1"/>
    <col min="8034" max="8034" width="33.42578125" bestFit="1" customWidth="1"/>
    <col min="8035" max="8052" width="12" customWidth="1"/>
    <col min="8054" max="8054" width="33.42578125" bestFit="1" customWidth="1"/>
    <col min="8055" max="8055" width="10.5703125" customWidth="1"/>
    <col min="8056" max="8056" width="24.42578125" customWidth="1"/>
    <col min="8057" max="8057" width="17.5703125" customWidth="1"/>
    <col min="8290" max="8290" width="33.42578125" bestFit="1" customWidth="1"/>
    <col min="8291" max="8308" width="12" customWidth="1"/>
    <col min="8310" max="8310" width="33.42578125" bestFit="1" customWidth="1"/>
    <col min="8311" max="8311" width="10.5703125" customWidth="1"/>
    <col min="8312" max="8312" width="24.42578125" customWidth="1"/>
    <col min="8313" max="8313" width="17.5703125" customWidth="1"/>
    <col min="8546" max="8546" width="33.42578125" bestFit="1" customWidth="1"/>
    <col min="8547" max="8564" width="12" customWidth="1"/>
    <col min="8566" max="8566" width="33.42578125" bestFit="1" customWidth="1"/>
    <col min="8567" max="8567" width="10.5703125" customWidth="1"/>
    <col min="8568" max="8568" width="24.42578125" customWidth="1"/>
    <col min="8569" max="8569" width="17.5703125" customWidth="1"/>
    <col min="8802" max="8802" width="33.42578125" bestFit="1" customWidth="1"/>
    <col min="8803" max="8820" width="12" customWidth="1"/>
    <col min="8822" max="8822" width="33.42578125" bestFit="1" customWidth="1"/>
    <col min="8823" max="8823" width="10.5703125" customWidth="1"/>
    <col min="8824" max="8824" width="24.42578125" customWidth="1"/>
    <col min="8825" max="8825" width="17.5703125" customWidth="1"/>
    <col min="9058" max="9058" width="33.42578125" bestFit="1" customWidth="1"/>
    <col min="9059" max="9076" width="12" customWidth="1"/>
    <col min="9078" max="9078" width="33.42578125" bestFit="1" customWidth="1"/>
    <col min="9079" max="9079" width="10.5703125" customWidth="1"/>
    <col min="9080" max="9080" width="24.42578125" customWidth="1"/>
    <col min="9081" max="9081" width="17.5703125" customWidth="1"/>
    <col min="9314" max="9314" width="33.42578125" bestFit="1" customWidth="1"/>
    <col min="9315" max="9332" width="12" customWidth="1"/>
    <col min="9334" max="9334" width="33.42578125" bestFit="1" customWidth="1"/>
    <col min="9335" max="9335" width="10.5703125" customWidth="1"/>
    <col min="9336" max="9336" width="24.42578125" customWidth="1"/>
    <col min="9337" max="9337" width="17.5703125" customWidth="1"/>
    <col min="9570" max="9570" width="33.42578125" bestFit="1" customWidth="1"/>
    <col min="9571" max="9588" width="12" customWidth="1"/>
    <col min="9590" max="9590" width="33.42578125" bestFit="1" customWidth="1"/>
    <col min="9591" max="9591" width="10.5703125" customWidth="1"/>
    <col min="9592" max="9592" width="24.42578125" customWidth="1"/>
    <col min="9593" max="9593" width="17.5703125" customWidth="1"/>
    <col min="9826" max="9826" width="33.42578125" bestFit="1" customWidth="1"/>
    <col min="9827" max="9844" width="12" customWidth="1"/>
    <col min="9846" max="9846" width="33.42578125" bestFit="1" customWidth="1"/>
    <col min="9847" max="9847" width="10.5703125" customWidth="1"/>
    <col min="9848" max="9848" width="24.42578125" customWidth="1"/>
    <col min="9849" max="9849" width="17.5703125" customWidth="1"/>
    <col min="10082" max="10082" width="33.42578125" bestFit="1" customWidth="1"/>
    <col min="10083" max="10100" width="12" customWidth="1"/>
    <col min="10102" max="10102" width="33.42578125" bestFit="1" customWidth="1"/>
    <col min="10103" max="10103" width="10.5703125" customWidth="1"/>
    <col min="10104" max="10104" width="24.42578125" customWidth="1"/>
    <col min="10105" max="10105" width="17.5703125" customWidth="1"/>
    <col min="10338" max="10338" width="33.42578125" bestFit="1" customWidth="1"/>
    <col min="10339" max="10356" width="12" customWidth="1"/>
    <col min="10358" max="10358" width="33.42578125" bestFit="1" customWidth="1"/>
    <col min="10359" max="10359" width="10.5703125" customWidth="1"/>
    <col min="10360" max="10360" width="24.42578125" customWidth="1"/>
    <col min="10361" max="10361" width="17.5703125" customWidth="1"/>
    <col min="10594" max="10594" width="33.42578125" bestFit="1" customWidth="1"/>
    <col min="10595" max="10612" width="12" customWidth="1"/>
    <col min="10614" max="10614" width="33.42578125" bestFit="1" customWidth="1"/>
    <col min="10615" max="10615" width="10.5703125" customWidth="1"/>
    <col min="10616" max="10616" width="24.42578125" customWidth="1"/>
    <col min="10617" max="10617" width="17.5703125" customWidth="1"/>
    <col min="10850" max="10850" width="33.42578125" bestFit="1" customWidth="1"/>
    <col min="10851" max="10868" width="12" customWidth="1"/>
    <col min="10870" max="10870" width="33.42578125" bestFit="1" customWidth="1"/>
    <col min="10871" max="10871" width="10.5703125" customWidth="1"/>
    <col min="10872" max="10872" width="24.42578125" customWidth="1"/>
    <col min="10873" max="10873" width="17.5703125" customWidth="1"/>
    <col min="11106" max="11106" width="33.42578125" bestFit="1" customWidth="1"/>
    <col min="11107" max="11124" width="12" customWidth="1"/>
    <col min="11126" max="11126" width="33.42578125" bestFit="1" customWidth="1"/>
    <col min="11127" max="11127" width="10.5703125" customWidth="1"/>
    <col min="11128" max="11128" width="24.42578125" customWidth="1"/>
    <col min="11129" max="11129" width="17.5703125" customWidth="1"/>
    <col min="11362" max="11362" width="33.42578125" bestFit="1" customWidth="1"/>
    <col min="11363" max="11380" width="12" customWidth="1"/>
    <col min="11382" max="11382" width="33.42578125" bestFit="1" customWidth="1"/>
    <col min="11383" max="11383" width="10.5703125" customWidth="1"/>
    <col min="11384" max="11384" width="24.42578125" customWidth="1"/>
    <col min="11385" max="11385" width="17.5703125" customWidth="1"/>
    <col min="11618" max="11618" width="33.42578125" bestFit="1" customWidth="1"/>
    <col min="11619" max="11636" width="12" customWidth="1"/>
    <col min="11638" max="11638" width="33.42578125" bestFit="1" customWidth="1"/>
    <col min="11639" max="11639" width="10.5703125" customWidth="1"/>
    <col min="11640" max="11640" width="24.42578125" customWidth="1"/>
    <col min="11641" max="11641" width="17.5703125" customWidth="1"/>
    <col min="11874" max="11874" width="33.42578125" bestFit="1" customWidth="1"/>
    <col min="11875" max="11892" width="12" customWidth="1"/>
    <col min="11894" max="11894" width="33.42578125" bestFit="1" customWidth="1"/>
    <col min="11895" max="11895" width="10.5703125" customWidth="1"/>
    <col min="11896" max="11896" width="24.42578125" customWidth="1"/>
    <col min="11897" max="11897" width="17.5703125" customWidth="1"/>
    <col min="12130" max="12130" width="33.42578125" bestFit="1" customWidth="1"/>
    <col min="12131" max="12148" width="12" customWidth="1"/>
    <col min="12150" max="12150" width="33.42578125" bestFit="1" customWidth="1"/>
    <col min="12151" max="12151" width="10.5703125" customWidth="1"/>
    <col min="12152" max="12152" width="24.42578125" customWidth="1"/>
    <col min="12153" max="12153" width="17.5703125" customWidth="1"/>
    <col min="12386" max="12386" width="33.42578125" bestFit="1" customWidth="1"/>
    <col min="12387" max="12404" width="12" customWidth="1"/>
    <col min="12406" max="12406" width="33.42578125" bestFit="1" customWidth="1"/>
    <col min="12407" max="12407" width="10.5703125" customWidth="1"/>
    <col min="12408" max="12408" width="24.42578125" customWidth="1"/>
    <col min="12409" max="12409" width="17.5703125" customWidth="1"/>
    <col min="12642" max="12642" width="33.42578125" bestFit="1" customWidth="1"/>
    <col min="12643" max="12660" width="12" customWidth="1"/>
    <col min="12662" max="12662" width="33.42578125" bestFit="1" customWidth="1"/>
    <col min="12663" max="12663" width="10.5703125" customWidth="1"/>
    <col min="12664" max="12664" width="24.42578125" customWidth="1"/>
    <col min="12665" max="12665" width="17.5703125" customWidth="1"/>
    <col min="12898" max="12898" width="33.42578125" bestFit="1" customWidth="1"/>
    <col min="12899" max="12916" width="12" customWidth="1"/>
    <col min="12918" max="12918" width="33.42578125" bestFit="1" customWidth="1"/>
    <col min="12919" max="12919" width="10.5703125" customWidth="1"/>
    <col min="12920" max="12920" width="24.42578125" customWidth="1"/>
    <col min="12921" max="12921" width="17.5703125" customWidth="1"/>
    <col min="13154" max="13154" width="33.42578125" bestFit="1" customWidth="1"/>
    <col min="13155" max="13172" width="12" customWidth="1"/>
    <col min="13174" max="13174" width="33.42578125" bestFit="1" customWidth="1"/>
    <col min="13175" max="13175" width="10.5703125" customWidth="1"/>
    <col min="13176" max="13176" width="24.42578125" customWidth="1"/>
    <col min="13177" max="13177" width="17.5703125" customWidth="1"/>
    <col min="13410" max="13410" width="33.42578125" bestFit="1" customWidth="1"/>
    <col min="13411" max="13428" width="12" customWidth="1"/>
    <col min="13430" max="13430" width="33.42578125" bestFit="1" customWidth="1"/>
    <col min="13431" max="13431" width="10.5703125" customWidth="1"/>
    <col min="13432" max="13432" width="24.42578125" customWidth="1"/>
    <col min="13433" max="13433" width="17.5703125" customWidth="1"/>
    <col min="13666" max="13666" width="33.42578125" bestFit="1" customWidth="1"/>
    <col min="13667" max="13684" width="12" customWidth="1"/>
    <col min="13686" max="13686" width="33.42578125" bestFit="1" customWidth="1"/>
    <col min="13687" max="13687" width="10.5703125" customWidth="1"/>
    <col min="13688" max="13688" width="24.42578125" customWidth="1"/>
    <col min="13689" max="13689" width="17.5703125" customWidth="1"/>
    <col min="13922" max="13922" width="33.42578125" bestFit="1" customWidth="1"/>
    <col min="13923" max="13940" width="12" customWidth="1"/>
    <col min="13942" max="13942" width="33.42578125" bestFit="1" customWidth="1"/>
    <col min="13943" max="13943" width="10.5703125" customWidth="1"/>
    <col min="13944" max="13944" width="24.42578125" customWidth="1"/>
    <col min="13945" max="13945" width="17.5703125" customWidth="1"/>
    <col min="14178" max="14178" width="33.42578125" bestFit="1" customWidth="1"/>
    <col min="14179" max="14196" width="12" customWidth="1"/>
    <col min="14198" max="14198" width="33.42578125" bestFit="1" customWidth="1"/>
    <col min="14199" max="14199" width="10.5703125" customWidth="1"/>
    <col min="14200" max="14200" width="24.42578125" customWidth="1"/>
    <col min="14201" max="14201" width="17.5703125" customWidth="1"/>
    <col min="14434" max="14434" width="33.42578125" bestFit="1" customWidth="1"/>
    <col min="14435" max="14452" width="12" customWidth="1"/>
    <col min="14454" max="14454" width="33.42578125" bestFit="1" customWidth="1"/>
    <col min="14455" max="14455" width="10.5703125" customWidth="1"/>
    <col min="14456" max="14456" width="24.42578125" customWidth="1"/>
    <col min="14457" max="14457" width="17.5703125" customWidth="1"/>
    <col min="14690" max="14690" width="33.42578125" bestFit="1" customWidth="1"/>
    <col min="14691" max="14708" width="12" customWidth="1"/>
    <col min="14710" max="14710" width="33.42578125" bestFit="1" customWidth="1"/>
    <col min="14711" max="14711" width="10.5703125" customWidth="1"/>
    <col min="14712" max="14712" width="24.42578125" customWidth="1"/>
    <col min="14713" max="14713" width="17.5703125" customWidth="1"/>
    <col min="14946" max="14946" width="33.42578125" bestFit="1" customWidth="1"/>
    <col min="14947" max="14964" width="12" customWidth="1"/>
    <col min="14966" max="14966" width="33.42578125" bestFit="1" customWidth="1"/>
    <col min="14967" max="14967" width="10.5703125" customWidth="1"/>
    <col min="14968" max="14968" width="24.42578125" customWidth="1"/>
    <col min="14969" max="14969" width="17.5703125" customWidth="1"/>
    <col min="15202" max="15202" width="33.42578125" bestFit="1" customWidth="1"/>
    <col min="15203" max="15220" width="12" customWidth="1"/>
    <col min="15222" max="15222" width="33.42578125" bestFit="1" customWidth="1"/>
    <col min="15223" max="15223" width="10.5703125" customWidth="1"/>
    <col min="15224" max="15224" width="24.42578125" customWidth="1"/>
    <col min="15225" max="15225" width="17.5703125" customWidth="1"/>
    <col min="15458" max="15458" width="33.42578125" bestFit="1" customWidth="1"/>
    <col min="15459" max="15476" width="12" customWidth="1"/>
    <col min="15478" max="15478" width="33.42578125" bestFit="1" customWidth="1"/>
    <col min="15479" max="15479" width="10.5703125" customWidth="1"/>
    <col min="15480" max="15480" width="24.42578125" customWidth="1"/>
    <col min="15481" max="15481" width="17.5703125" customWidth="1"/>
    <col min="15714" max="15714" width="33.42578125" bestFit="1" customWidth="1"/>
    <col min="15715" max="15732" width="12" customWidth="1"/>
    <col min="15734" max="15734" width="33.42578125" bestFit="1" customWidth="1"/>
    <col min="15735" max="15735" width="10.5703125" customWidth="1"/>
    <col min="15736" max="15736" width="24.42578125" customWidth="1"/>
    <col min="15737" max="15737" width="17.5703125" customWidth="1"/>
    <col min="15970" max="15970" width="33.42578125" bestFit="1" customWidth="1"/>
    <col min="15971" max="15988" width="12" customWidth="1"/>
    <col min="15990" max="15990" width="33.42578125" bestFit="1" customWidth="1"/>
    <col min="15991" max="15991" width="10.5703125" customWidth="1"/>
    <col min="15992" max="15992" width="24.42578125" customWidth="1"/>
    <col min="15993" max="15993" width="17.5703125" customWidth="1"/>
    <col min="16226" max="16226" width="33.42578125" bestFit="1" customWidth="1"/>
    <col min="16227" max="16244" width="12" customWidth="1"/>
    <col min="16246" max="16246" width="33.42578125" bestFit="1" customWidth="1"/>
    <col min="16247" max="16247" width="10.5703125" customWidth="1"/>
    <col min="16248" max="16248" width="24.42578125" customWidth="1"/>
    <col min="16249" max="16249" width="17.5703125" customWidth="1"/>
  </cols>
  <sheetData>
    <row r="1" spans="1:387" s="21" customFormat="1" ht="8.25" customHeight="1"/>
    <row r="2" spans="1:387" s="21" customFormat="1" ht="15.75">
      <c r="B2" s="22" t="s">
        <v>139</v>
      </c>
      <c r="C2" s="22"/>
      <c r="D2" s="22"/>
    </row>
    <row r="3" spans="1:387" s="10" customFormat="1" ht="15" customHeight="1"/>
    <row r="4" spans="1:387" ht="3.9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</row>
    <row r="5" spans="1:387" ht="37.5" customHeight="1">
      <c r="A5" s="6"/>
      <c r="B5" s="152" t="s">
        <v>136</v>
      </c>
      <c r="C5" s="152" t="s">
        <v>137</v>
      </c>
      <c r="D5" s="152" t="s">
        <v>138</v>
      </c>
      <c r="E5" s="121" t="s">
        <v>54</v>
      </c>
      <c r="F5" s="121"/>
      <c r="G5" s="121"/>
      <c r="H5" s="121"/>
      <c r="I5" s="121" t="s">
        <v>55</v>
      </c>
      <c r="J5" s="121"/>
      <c r="K5" s="121"/>
      <c r="L5" s="121"/>
      <c r="M5" s="121"/>
      <c r="N5" s="121" t="s">
        <v>56</v>
      </c>
      <c r="O5" s="121"/>
      <c r="P5" s="121"/>
      <c r="Q5" s="121"/>
      <c r="R5" s="121"/>
      <c r="S5" s="121" t="s">
        <v>57</v>
      </c>
      <c r="T5" s="121"/>
      <c r="U5" s="121"/>
      <c r="V5" s="121"/>
      <c r="W5" s="121"/>
      <c r="X5" s="121" t="s">
        <v>58</v>
      </c>
      <c r="Y5" s="121"/>
      <c r="Z5" s="121"/>
      <c r="AA5" s="121"/>
      <c r="AB5" s="121"/>
      <c r="AC5" s="121" t="s">
        <v>59</v>
      </c>
      <c r="AD5" s="121"/>
      <c r="AE5" s="121"/>
      <c r="AF5" s="121"/>
      <c r="AG5" s="121"/>
      <c r="AH5" s="121" t="s">
        <v>60</v>
      </c>
      <c r="AI5" s="121"/>
      <c r="AJ5" s="121"/>
      <c r="AK5" s="121"/>
      <c r="AL5" s="121"/>
      <c r="AM5" s="121" t="s">
        <v>61</v>
      </c>
      <c r="AN5" s="121"/>
      <c r="AO5" s="121"/>
      <c r="AP5" s="121"/>
      <c r="AQ5" s="121"/>
      <c r="AR5" s="121" t="s">
        <v>62</v>
      </c>
      <c r="AS5" s="121"/>
      <c r="AT5" s="121"/>
      <c r="AU5" s="121"/>
      <c r="AV5" s="121"/>
      <c r="AW5" s="121" t="s">
        <v>63</v>
      </c>
      <c r="AX5" s="121"/>
      <c r="AY5" s="121"/>
      <c r="AZ5" s="121"/>
      <c r="BA5" s="121"/>
      <c r="BB5" s="121" t="s">
        <v>64</v>
      </c>
      <c r="BC5" s="121"/>
      <c r="BD5" s="121"/>
      <c r="BE5" s="121"/>
      <c r="BF5" s="121"/>
      <c r="BG5" s="121" t="s">
        <v>65</v>
      </c>
      <c r="BH5" s="121"/>
      <c r="BI5" s="121"/>
      <c r="BJ5" s="121"/>
      <c r="BK5" s="121"/>
      <c r="BL5" s="121" t="s">
        <v>66</v>
      </c>
      <c r="BM5" s="121"/>
      <c r="BN5" s="121"/>
      <c r="BO5" s="121"/>
      <c r="BP5" s="121"/>
      <c r="BQ5" s="121" t="s">
        <v>67</v>
      </c>
      <c r="BR5" s="121"/>
      <c r="BS5" s="121"/>
      <c r="BT5" s="121"/>
      <c r="BU5" s="121"/>
      <c r="BV5" s="121" t="s">
        <v>68</v>
      </c>
      <c r="BW5" s="121"/>
      <c r="BX5" s="121"/>
      <c r="BY5" s="121"/>
      <c r="BZ5" s="121"/>
      <c r="CA5" s="121" t="s">
        <v>69</v>
      </c>
      <c r="CB5" s="121"/>
      <c r="CC5" s="121"/>
      <c r="CD5" s="121"/>
      <c r="CE5" s="121"/>
      <c r="CF5" s="121" t="s">
        <v>70</v>
      </c>
      <c r="CG5" s="121"/>
      <c r="CH5" s="121"/>
      <c r="CI5" s="121"/>
      <c r="CJ5" s="121"/>
      <c r="CK5" s="121" t="s">
        <v>71</v>
      </c>
      <c r="CL5" s="121"/>
      <c r="CM5" s="121"/>
      <c r="CN5" s="121"/>
      <c r="CO5" s="121"/>
      <c r="CP5" s="121" t="s">
        <v>72</v>
      </c>
      <c r="CQ5" s="121"/>
      <c r="CR5" s="121"/>
      <c r="CS5" s="121"/>
      <c r="CT5" s="121"/>
      <c r="CU5" s="121" t="s">
        <v>73</v>
      </c>
      <c r="CV5" s="121"/>
      <c r="CW5" s="121"/>
      <c r="CX5" s="121"/>
      <c r="CY5" s="121"/>
      <c r="CZ5" s="121" t="s">
        <v>74</v>
      </c>
      <c r="DA5" s="121"/>
      <c r="DB5" s="121"/>
      <c r="DC5" s="121"/>
      <c r="DD5" s="121"/>
      <c r="DE5" s="121" t="s">
        <v>75</v>
      </c>
      <c r="DF5" s="121"/>
      <c r="DG5" s="121"/>
      <c r="DH5" s="121"/>
      <c r="DI5" s="121"/>
      <c r="DJ5" s="121" t="s">
        <v>76</v>
      </c>
      <c r="DK5" s="121"/>
      <c r="DL5" s="121"/>
      <c r="DM5" s="121"/>
      <c r="DN5" s="121"/>
      <c r="DO5" s="121" t="s">
        <v>77</v>
      </c>
      <c r="DP5" s="121"/>
      <c r="DQ5" s="121"/>
      <c r="DR5" s="121"/>
      <c r="DS5" s="121"/>
      <c r="DT5" s="121" t="s">
        <v>78</v>
      </c>
      <c r="DU5" s="121"/>
      <c r="DV5" s="121"/>
      <c r="DW5" s="121"/>
      <c r="DX5" s="121"/>
      <c r="DY5" s="121" t="s">
        <v>79</v>
      </c>
      <c r="DZ5" s="121"/>
      <c r="EA5" s="121"/>
      <c r="EB5" s="121"/>
      <c r="EC5" s="121"/>
      <c r="ED5" s="121" t="s">
        <v>80</v>
      </c>
      <c r="EE5" s="121"/>
      <c r="EF5" s="121"/>
      <c r="EG5" s="121"/>
      <c r="EH5" s="121"/>
      <c r="EI5" s="121" t="s">
        <v>81</v>
      </c>
      <c r="EJ5" s="121"/>
      <c r="EK5" s="121"/>
      <c r="EL5" s="121"/>
      <c r="EM5" s="121"/>
      <c r="EN5" s="121" t="s">
        <v>82</v>
      </c>
      <c r="EO5" s="121"/>
      <c r="EP5" s="121"/>
      <c r="EQ5" s="121"/>
      <c r="ER5" s="121"/>
      <c r="ES5" s="121" t="s">
        <v>83</v>
      </c>
      <c r="ET5" s="121"/>
      <c r="EU5" s="121"/>
      <c r="EV5" s="121"/>
      <c r="EW5" s="121"/>
      <c r="EX5" s="121" t="s">
        <v>84</v>
      </c>
      <c r="EY5" s="121"/>
      <c r="EZ5" s="121"/>
      <c r="FA5" s="121"/>
      <c r="FB5" s="121"/>
      <c r="FC5" s="121" t="s">
        <v>85</v>
      </c>
      <c r="FD5" s="121"/>
      <c r="FE5" s="121"/>
      <c r="FF5" s="121"/>
      <c r="FG5" s="121"/>
      <c r="FH5" s="121" t="s">
        <v>86</v>
      </c>
      <c r="FI5" s="121"/>
      <c r="FJ5" s="121"/>
      <c r="FK5" s="121"/>
      <c r="FL5" s="121"/>
      <c r="FM5" s="121" t="s">
        <v>87</v>
      </c>
      <c r="FN5" s="121"/>
      <c r="FO5" s="121"/>
      <c r="FP5" s="121"/>
      <c r="FQ5" s="121"/>
      <c r="FR5" s="121" t="s">
        <v>88</v>
      </c>
      <c r="FS5" s="121"/>
      <c r="FT5" s="121"/>
      <c r="FU5" s="121"/>
      <c r="FV5" s="121"/>
      <c r="FW5" s="121" t="s">
        <v>89</v>
      </c>
      <c r="FX5" s="121"/>
      <c r="FY5" s="121"/>
      <c r="FZ5" s="121"/>
      <c r="GA5" s="121"/>
      <c r="GB5" s="121" t="s">
        <v>90</v>
      </c>
      <c r="GC5" s="121"/>
      <c r="GD5" s="121"/>
      <c r="GE5" s="121"/>
      <c r="GF5" s="121"/>
      <c r="GG5" s="121" t="s">
        <v>91</v>
      </c>
      <c r="GH5" s="121"/>
      <c r="GI5" s="121"/>
      <c r="GJ5" s="121"/>
      <c r="GK5" s="121"/>
      <c r="GL5" s="121" t="s">
        <v>92</v>
      </c>
      <c r="GM5" s="121"/>
      <c r="GN5" s="121"/>
      <c r="GO5" s="121"/>
      <c r="GP5" s="121"/>
      <c r="GQ5" s="121" t="s">
        <v>93</v>
      </c>
      <c r="GR5" s="121"/>
      <c r="GS5" s="121"/>
      <c r="GT5" s="121"/>
      <c r="GU5" s="121"/>
      <c r="GV5" s="121" t="s">
        <v>94</v>
      </c>
      <c r="GW5" s="121"/>
      <c r="GX5" s="121"/>
      <c r="GY5" s="121"/>
      <c r="GZ5" s="121"/>
      <c r="HA5" s="121" t="s">
        <v>95</v>
      </c>
      <c r="HB5" s="121"/>
      <c r="HC5" s="121"/>
      <c r="HD5" s="121"/>
      <c r="HE5" s="121"/>
      <c r="HF5" s="121" t="s">
        <v>96</v>
      </c>
      <c r="HG5" s="121"/>
      <c r="HH5" s="121"/>
      <c r="HI5" s="121"/>
      <c r="HJ5" s="121"/>
      <c r="HK5" s="121" t="s">
        <v>97</v>
      </c>
      <c r="HL5" s="121"/>
      <c r="HM5" s="121"/>
      <c r="HN5" s="121"/>
      <c r="HO5" s="121"/>
      <c r="HP5" s="121" t="s">
        <v>98</v>
      </c>
      <c r="HQ5" s="121"/>
      <c r="HR5" s="121"/>
      <c r="HS5" s="121"/>
      <c r="HT5" s="121"/>
      <c r="HU5" s="121" t="s">
        <v>99</v>
      </c>
      <c r="HV5" s="121"/>
      <c r="HW5" s="121"/>
      <c r="HX5" s="121"/>
      <c r="HY5" s="121"/>
      <c r="HZ5" s="121" t="s">
        <v>100</v>
      </c>
      <c r="IA5" s="121"/>
      <c r="IB5" s="121"/>
      <c r="IC5" s="121"/>
      <c r="ID5" s="121"/>
      <c r="IE5" s="121" t="s">
        <v>101</v>
      </c>
      <c r="IF5" s="121"/>
      <c r="IG5" s="121"/>
      <c r="IH5" s="121"/>
      <c r="II5" s="121"/>
      <c r="IJ5" s="121" t="s">
        <v>102</v>
      </c>
      <c r="IK5" s="121"/>
      <c r="IL5" s="121"/>
      <c r="IM5" s="121"/>
      <c r="IN5" s="121"/>
      <c r="IO5" s="121" t="s">
        <v>103</v>
      </c>
      <c r="IP5" s="121"/>
      <c r="IQ5" s="121"/>
      <c r="IR5" s="121"/>
      <c r="IS5" s="121"/>
      <c r="IT5" s="121" t="s">
        <v>104</v>
      </c>
      <c r="IU5" s="121"/>
      <c r="IV5" s="121"/>
      <c r="IW5" s="121"/>
      <c r="IX5" s="121"/>
      <c r="IY5" s="121" t="s">
        <v>105</v>
      </c>
      <c r="IZ5" s="121"/>
      <c r="JA5" s="121"/>
      <c r="JB5" s="121"/>
      <c r="JC5" s="121"/>
      <c r="JD5" s="121" t="s">
        <v>106</v>
      </c>
      <c r="JE5" s="121"/>
      <c r="JF5" s="121"/>
      <c r="JG5" s="121"/>
      <c r="JH5" s="121"/>
      <c r="JI5" s="121" t="s">
        <v>107</v>
      </c>
      <c r="JJ5" s="121"/>
      <c r="JK5" s="121"/>
      <c r="JL5" s="121"/>
      <c r="JM5" s="121"/>
      <c r="JN5" s="121" t="s">
        <v>108</v>
      </c>
      <c r="JO5" s="121"/>
      <c r="JP5" s="121"/>
      <c r="JQ5" s="121"/>
      <c r="JR5" s="121"/>
      <c r="JS5" s="121" t="s">
        <v>109</v>
      </c>
      <c r="JT5" s="121"/>
      <c r="JU5" s="121"/>
      <c r="JV5" s="121"/>
      <c r="JW5" s="121"/>
      <c r="JX5" s="121" t="s">
        <v>110</v>
      </c>
      <c r="JY5" s="121"/>
      <c r="JZ5" s="121"/>
      <c r="KA5" s="121"/>
      <c r="KB5" s="121"/>
      <c r="KC5" s="121" t="s">
        <v>111</v>
      </c>
      <c r="KD5" s="121"/>
      <c r="KE5" s="121"/>
      <c r="KF5" s="121"/>
      <c r="KG5" s="121"/>
      <c r="KH5" s="121" t="s">
        <v>112</v>
      </c>
      <c r="KI5" s="121"/>
      <c r="KJ5" s="121"/>
      <c r="KK5" s="121"/>
      <c r="KL5" s="121"/>
      <c r="KM5" s="121" t="s">
        <v>113</v>
      </c>
      <c r="KN5" s="121"/>
      <c r="KO5" s="121"/>
      <c r="KP5" s="121"/>
      <c r="KQ5" s="121"/>
      <c r="KR5" s="121" t="s">
        <v>114</v>
      </c>
      <c r="KS5" s="121"/>
      <c r="KT5" s="121"/>
      <c r="KU5" s="121"/>
      <c r="KV5" s="121"/>
      <c r="KW5" s="121" t="s">
        <v>115</v>
      </c>
      <c r="KX5" s="121"/>
      <c r="KY5" s="121"/>
      <c r="KZ5" s="121"/>
      <c r="LA5" s="121"/>
      <c r="LB5" s="121" t="s">
        <v>116</v>
      </c>
      <c r="LC5" s="121"/>
      <c r="LD5" s="121"/>
      <c r="LE5" s="121"/>
      <c r="LF5" s="121"/>
      <c r="LG5" s="121" t="s">
        <v>117</v>
      </c>
      <c r="LH5" s="121"/>
      <c r="LI5" s="121"/>
      <c r="LJ5" s="121"/>
      <c r="LK5" s="121"/>
      <c r="LL5" s="121" t="s">
        <v>118</v>
      </c>
      <c r="LM5" s="121"/>
      <c r="LN5" s="121"/>
      <c r="LO5" s="121"/>
      <c r="LP5" s="121"/>
      <c r="LQ5" s="121" t="s">
        <v>119</v>
      </c>
      <c r="LR5" s="121"/>
      <c r="LS5" s="121"/>
      <c r="LT5" s="121"/>
      <c r="LU5" s="121"/>
      <c r="LV5" s="121" t="s">
        <v>120</v>
      </c>
      <c r="LW5" s="121"/>
      <c r="LX5" s="121"/>
      <c r="LY5" s="121"/>
      <c r="LZ5" s="121"/>
      <c r="MA5" s="121" t="s">
        <v>121</v>
      </c>
      <c r="MB5" s="121"/>
      <c r="MC5" s="121"/>
      <c r="MD5" s="121"/>
      <c r="ME5" s="121"/>
      <c r="MF5" s="121" t="s">
        <v>122</v>
      </c>
      <c r="MG5" s="121"/>
      <c r="MH5" s="121"/>
      <c r="MI5" s="121"/>
      <c r="MJ5" s="121"/>
      <c r="MK5" s="121" t="s">
        <v>123</v>
      </c>
      <c r="ML5" s="121"/>
      <c r="MM5" s="121"/>
      <c r="MN5" s="121"/>
      <c r="MO5" s="121"/>
      <c r="MP5" s="121" t="s">
        <v>124</v>
      </c>
      <c r="MQ5" s="121"/>
      <c r="MR5" s="121"/>
      <c r="MS5" s="121"/>
      <c r="MT5" s="121"/>
      <c r="MU5" s="121" t="s">
        <v>125</v>
      </c>
      <c r="MV5" s="121"/>
      <c r="MW5" s="121"/>
      <c r="MX5" s="121"/>
      <c r="MY5" s="121"/>
      <c r="MZ5" s="121" t="s">
        <v>126</v>
      </c>
      <c r="NA5" s="121"/>
      <c r="NB5" s="121"/>
      <c r="NC5" s="121"/>
      <c r="ND5" s="121"/>
      <c r="NE5" s="121" t="s">
        <v>127</v>
      </c>
      <c r="NF5" s="121"/>
      <c r="NG5" s="121"/>
      <c r="NH5" s="121"/>
      <c r="NI5" s="121"/>
      <c r="NJ5" s="121" t="s">
        <v>148</v>
      </c>
      <c r="NK5" s="121"/>
      <c r="NL5" s="121"/>
      <c r="NM5" s="121"/>
      <c r="NN5" s="121"/>
      <c r="NO5" s="129" t="s">
        <v>12</v>
      </c>
      <c r="NP5" s="130"/>
      <c r="NQ5" s="130"/>
      <c r="NR5" s="131"/>
      <c r="NS5" s="123" t="s">
        <v>149</v>
      </c>
      <c r="NT5" s="124"/>
      <c r="NU5" s="124"/>
      <c r="NV5" s="125"/>
      <c r="NW5" s="6"/>
    </row>
    <row r="6" spans="1:387" ht="35.25" customHeight="1">
      <c r="A6" s="6"/>
      <c r="B6" s="153"/>
      <c r="C6" s="153"/>
      <c r="D6" s="154"/>
      <c r="E6" s="49" t="s">
        <v>53</v>
      </c>
      <c r="F6" s="49" t="s">
        <v>2</v>
      </c>
      <c r="G6" s="49" t="s">
        <v>3</v>
      </c>
      <c r="H6" s="49" t="s">
        <v>4</v>
      </c>
      <c r="I6" s="49" t="s">
        <v>53</v>
      </c>
      <c r="J6" s="49" t="s">
        <v>2</v>
      </c>
      <c r="K6" s="49" t="s">
        <v>3</v>
      </c>
      <c r="L6" s="49" t="s">
        <v>4</v>
      </c>
      <c r="M6" s="49" t="s">
        <v>5</v>
      </c>
      <c r="N6" s="49" t="s">
        <v>53</v>
      </c>
      <c r="O6" s="49" t="s">
        <v>2</v>
      </c>
      <c r="P6" s="49" t="s">
        <v>3</v>
      </c>
      <c r="Q6" s="49" t="s">
        <v>4</v>
      </c>
      <c r="R6" s="49" t="s">
        <v>5</v>
      </c>
      <c r="S6" s="49" t="s">
        <v>53</v>
      </c>
      <c r="T6" s="49" t="s">
        <v>2</v>
      </c>
      <c r="U6" s="49" t="s">
        <v>3</v>
      </c>
      <c r="V6" s="49" t="s">
        <v>4</v>
      </c>
      <c r="W6" s="49" t="s">
        <v>5</v>
      </c>
      <c r="X6" s="49" t="s">
        <v>53</v>
      </c>
      <c r="Y6" s="49" t="s">
        <v>2</v>
      </c>
      <c r="Z6" s="49" t="s">
        <v>3</v>
      </c>
      <c r="AA6" s="49" t="s">
        <v>4</v>
      </c>
      <c r="AB6" s="49" t="s">
        <v>5</v>
      </c>
      <c r="AC6" s="49" t="s">
        <v>53</v>
      </c>
      <c r="AD6" s="49" t="s">
        <v>2</v>
      </c>
      <c r="AE6" s="49" t="s">
        <v>3</v>
      </c>
      <c r="AF6" s="49" t="s">
        <v>4</v>
      </c>
      <c r="AG6" s="49" t="s">
        <v>5</v>
      </c>
      <c r="AH6" s="49" t="s">
        <v>53</v>
      </c>
      <c r="AI6" s="49" t="s">
        <v>2</v>
      </c>
      <c r="AJ6" s="49" t="s">
        <v>3</v>
      </c>
      <c r="AK6" s="49" t="s">
        <v>4</v>
      </c>
      <c r="AL6" s="49" t="s">
        <v>5</v>
      </c>
      <c r="AM6" s="49" t="s">
        <v>53</v>
      </c>
      <c r="AN6" s="49" t="s">
        <v>2</v>
      </c>
      <c r="AO6" s="49" t="s">
        <v>3</v>
      </c>
      <c r="AP6" s="49" t="s">
        <v>4</v>
      </c>
      <c r="AQ6" s="49" t="s">
        <v>5</v>
      </c>
      <c r="AR6" s="49" t="s">
        <v>53</v>
      </c>
      <c r="AS6" s="49" t="s">
        <v>2</v>
      </c>
      <c r="AT6" s="49" t="s">
        <v>3</v>
      </c>
      <c r="AU6" s="49" t="s">
        <v>4</v>
      </c>
      <c r="AV6" s="49" t="s">
        <v>5</v>
      </c>
      <c r="AW6" s="49" t="s">
        <v>53</v>
      </c>
      <c r="AX6" s="49" t="s">
        <v>2</v>
      </c>
      <c r="AY6" s="49" t="s">
        <v>3</v>
      </c>
      <c r="AZ6" s="49" t="s">
        <v>4</v>
      </c>
      <c r="BA6" s="49" t="s">
        <v>5</v>
      </c>
      <c r="BB6" s="49" t="s">
        <v>53</v>
      </c>
      <c r="BC6" s="49" t="s">
        <v>2</v>
      </c>
      <c r="BD6" s="49" t="s">
        <v>3</v>
      </c>
      <c r="BE6" s="49" t="s">
        <v>4</v>
      </c>
      <c r="BF6" s="49" t="s">
        <v>5</v>
      </c>
      <c r="BG6" s="49" t="s">
        <v>53</v>
      </c>
      <c r="BH6" s="49" t="s">
        <v>2</v>
      </c>
      <c r="BI6" s="49" t="s">
        <v>3</v>
      </c>
      <c r="BJ6" s="49" t="s">
        <v>4</v>
      </c>
      <c r="BK6" s="49" t="s">
        <v>5</v>
      </c>
      <c r="BL6" s="49" t="s">
        <v>53</v>
      </c>
      <c r="BM6" s="49" t="s">
        <v>2</v>
      </c>
      <c r="BN6" s="49" t="s">
        <v>3</v>
      </c>
      <c r="BO6" s="49" t="s">
        <v>4</v>
      </c>
      <c r="BP6" s="49" t="s">
        <v>5</v>
      </c>
      <c r="BQ6" s="49" t="s">
        <v>53</v>
      </c>
      <c r="BR6" s="49" t="s">
        <v>2</v>
      </c>
      <c r="BS6" s="49" t="s">
        <v>3</v>
      </c>
      <c r="BT6" s="49" t="s">
        <v>4</v>
      </c>
      <c r="BU6" s="49" t="s">
        <v>5</v>
      </c>
      <c r="BV6" s="49" t="s">
        <v>53</v>
      </c>
      <c r="BW6" s="49" t="s">
        <v>2</v>
      </c>
      <c r="BX6" s="49" t="s">
        <v>3</v>
      </c>
      <c r="BY6" s="49" t="s">
        <v>4</v>
      </c>
      <c r="BZ6" s="49" t="s">
        <v>5</v>
      </c>
      <c r="CA6" s="49" t="s">
        <v>53</v>
      </c>
      <c r="CB6" s="49" t="s">
        <v>2</v>
      </c>
      <c r="CC6" s="49" t="s">
        <v>3</v>
      </c>
      <c r="CD6" s="49" t="s">
        <v>4</v>
      </c>
      <c r="CE6" s="49" t="s">
        <v>5</v>
      </c>
      <c r="CF6" s="49" t="s">
        <v>53</v>
      </c>
      <c r="CG6" s="49" t="s">
        <v>2</v>
      </c>
      <c r="CH6" s="49" t="s">
        <v>3</v>
      </c>
      <c r="CI6" s="49" t="s">
        <v>4</v>
      </c>
      <c r="CJ6" s="49" t="s">
        <v>5</v>
      </c>
      <c r="CK6" s="49" t="s">
        <v>53</v>
      </c>
      <c r="CL6" s="49" t="s">
        <v>2</v>
      </c>
      <c r="CM6" s="49" t="s">
        <v>3</v>
      </c>
      <c r="CN6" s="49" t="s">
        <v>4</v>
      </c>
      <c r="CO6" s="49" t="s">
        <v>5</v>
      </c>
      <c r="CP6" s="49" t="s">
        <v>53</v>
      </c>
      <c r="CQ6" s="49" t="s">
        <v>2</v>
      </c>
      <c r="CR6" s="49" t="s">
        <v>3</v>
      </c>
      <c r="CS6" s="49" t="s">
        <v>4</v>
      </c>
      <c r="CT6" s="49" t="s">
        <v>5</v>
      </c>
      <c r="CU6" s="49" t="s">
        <v>53</v>
      </c>
      <c r="CV6" s="49" t="s">
        <v>2</v>
      </c>
      <c r="CW6" s="49" t="s">
        <v>3</v>
      </c>
      <c r="CX6" s="49" t="s">
        <v>4</v>
      </c>
      <c r="CY6" s="49" t="s">
        <v>5</v>
      </c>
      <c r="CZ6" s="49" t="s">
        <v>53</v>
      </c>
      <c r="DA6" s="49" t="s">
        <v>2</v>
      </c>
      <c r="DB6" s="49" t="s">
        <v>3</v>
      </c>
      <c r="DC6" s="49" t="s">
        <v>4</v>
      </c>
      <c r="DD6" s="49" t="s">
        <v>5</v>
      </c>
      <c r="DE6" s="49" t="s">
        <v>53</v>
      </c>
      <c r="DF6" s="49" t="s">
        <v>2</v>
      </c>
      <c r="DG6" s="49" t="s">
        <v>3</v>
      </c>
      <c r="DH6" s="49" t="s">
        <v>4</v>
      </c>
      <c r="DI6" s="49" t="s">
        <v>5</v>
      </c>
      <c r="DJ6" s="49" t="s">
        <v>53</v>
      </c>
      <c r="DK6" s="49" t="s">
        <v>2</v>
      </c>
      <c r="DL6" s="49" t="s">
        <v>3</v>
      </c>
      <c r="DM6" s="49" t="s">
        <v>4</v>
      </c>
      <c r="DN6" s="49" t="s">
        <v>5</v>
      </c>
      <c r="DO6" s="49" t="s">
        <v>53</v>
      </c>
      <c r="DP6" s="49" t="s">
        <v>2</v>
      </c>
      <c r="DQ6" s="49" t="s">
        <v>3</v>
      </c>
      <c r="DR6" s="49" t="s">
        <v>4</v>
      </c>
      <c r="DS6" s="49" t="s">
        <v>5</v>
      </c>
      <c r="DT6" s="49" t="s">
        <v>53</v>
      </c>
      <c r="DU6" s="49" t="s">
        <v>2</v>
      </c>
      <c r="DV6" s="49" t="s">
        <v>3</v>
      </c>
      <c r="DW6" s="49" t="s">
        <v>4</v>
      </c>
      <c r="DX6" s="49" t="s">
        <v>5</v>
      </c>
      <c r="DY6" s="49" t="s">
        <v>53</v>
      </c>
      <c r="DZ6" s="49" t="s">
        <v>2</v>
      </c>
      <c r="EA6" s="49" t="s">
        <v>3</v>
      </c>
      <c r="EB6" s="49" t="s">
        <v>4</v>
      </c>
      <c r="EC6" s="49" t="s">
        <v>5</v>
      </c>
      <c r="ED6" s="49" t="s">
        <v>53</v>
      </c>
      <c r="EE6" s="49" t="s">
        <v>2</v>
      </c>
      <c r="EF6" s="49" t="s">
        <v>3</v>
      </c>
      <c r="EG6" s="49" t="s">
        <v>4</v>
      </c>
      <c r="EH6" s="49" t="s">
        <v>5</v>
      </c>
      <c r="EI6" s="49" t="s">
        <v>53</v>
      </c>
      <c r="EJ6" s="49" t="s">
        <v>2</v>
      </c>
      <c r="EK6" s="49" t="s">
        <v>3</v>
      </c>
      <c r="EL6" s="49" t="s">
        <v>4</v>
      </c>
      <c r="EM6" s="49" t="s">
        <v>5</v>
      </c>
      <c r="EN6" s="49" t="s">
        <v>53</v>
      </c>
      <c r="EO6" s="49" t="s">
        <v>2</v>
      </c>
      <c r="EP6" s="49" t="s">
        <v>3</v>
      </c>
      <c r="EQ6" s="49" t="s">
        <v>4</v>
      </c>
      <c r="ER6" s="49" t="s">
        <v>5</v>
      </c>
      <c r="ES6" s="49" t="s">
        <v>53</v>
      </c>
      <c r="ET6" s="49" t="s">
        <v>2</v>
      </c>
      <c r="EU6" s="49" t="s">
        <v>3</v>
      </c>
      <c r="EV6" s="49" t="s">
        <v>4</v>
      </c>
      <c r="EW6" s="49" t="s">
        <v>5</v>
      </c>
      <c r="EX6" s="49" t="s">
        <v>53</v>
      </c>
      <c r="EY6" s="49" t="s">
        <v>2</v>
      </c>
      <c r="EZ6" s="49" t="s">
        <v>3</v>
      </c>
      <c r="FA6" s="49" t="s">
        <v>4</v>
      </c>
      <c r="FB6" s="49" t="s">
        <v>5</v>
      </c>
      <c r="FC6" s="49" t="s">
        <v>53</v>
      </c>
      <c r="FD6" s="49" t="s">
        <v>2</v>
      </c>
      <c r="FE6" s="49" t="s">
        <v>3</v>
      </c>
      <c r="FF6" s="49" t="s">
        <v>4</v>
      </c>
      <c r="FG6" s="49" t="s">
        <v>5</v>
      </c>
      <c r="FH6" s="49" t="s">
        <v>53</v>
      </c>
      <c r="FI6" s="49" t="s">
        <v>2</v>
      </c>
      <c r="FJ6" s="49" t="s">
        <v>3</v>
      </c>
      <c r="FK6" s="49" t="s">
        <v>4</v>
      </c>
      <c r="FL6" s="49" t="s">
        <v>5</v>
      </c>
      <c r="FM6" s="49" t="s">
        <v>53</v>
      </c>
      <c r="FN6" s="49" t="s">
        <v>2</v>
      </c>
      <c r="FO6" s="49" t="s">
        <v>3</v>
      </c>
      <c r="FP6" s="49" t="s">
        <v>4</v>
      </c>
      <c r="FQ6" s="49" t="s">
        <v>5</v>
      </c>
      <c r="FR6" s="49" t="s">
        <v>53</v>
      </c>
      <c r="FS6" s="49" t="s">
        <v>2</v>
      </c>
      <c r="FT6" s="49" t="s">
        <v>3</v>
      </c>
      <c r="FU6" s="49" t="s">
        <v>4</v>
      </c>
      <c r="FV6" s="49" t="s">
        <v>5</v>
      </c>
      <c r="FW6" s="49" t="s">
        <v>53</v>
      </c>
      <c r="FX6" s="49" t="s">
        <v>2</v>
      </c>
      <c r="FY6" s="49" t="s">
        <v>3</v>
      </c>
      <c r="FZ6" s="49" t="s">
        <v>4</v>
      </c>
      <c r="GA6" s="49" t="s">
        <v>5</v>
      </c>
      <c r="GB6" s="49" t="s">
        <v>53</v>
      </c>
      <c r="GC6" s="49" t="s">
        <v>2</v>
      </c>
      <c r="GD6" s="49" t="s">
        <v>3</v>
      </c>
      <c r="GE6" s="49" t="s">
        <v>4</v>
      </c>
      <c r="GF6" s="49" t="s">
        <v>5</v>
      </c>
      <c r="GG6" s="49" t="s">
        <v>53</v>
      </c>
      <c r="GH6" s="49" t="s">
        <v>2</v>
      </c>
      <c r="GI6" s="49" t="s">
        <v>3</v>
      </c>
      <c r="GJ6" s="49" t="s">
        <v>4</v>
      </c>
      <c r="GK6" s="49" t="s">
        <v>5</v>
      </c>
      <c r="GL6" s="49" t="s">
        <v>53</v>
      </c>
      <c r="GM6" s="49" t="s">
        <v>2</v>
      </c>
      <c r="GN6" s="49" t="s">
        <v>3</v>
      </c>
      <c r="GO6" s="49" t="s">
        <v>4</v>
      </c>
      <c r="GP6" s="49" t="s">
        <v>5</v>
      </c>
      <c r="GQ6" s="49" t="s">
        <v>53</v>
      </c>
      <c r="GR6" s="49" t="s">
        <v>2</v>
      </c>
      <c r="GS6" s="49" t="s">
        <v>3</v>
      </c>
      <c r="GT6" s="49" t="s">
        <v>4</v>
      </c>
      <c r="GU6" s="49" t="s">
        <v>5</v>
      </c>
      <c r="GV6" s="49" t="s">
        <v>53</v>
      </c>
      <c r="GW6" s="49" t="s">
        <v>2</v>
      </c>
      <c r="GX6" s="49" t="s">
        <v>3</v>
      </c>
      <c r="GY6" s="49" t="s">
        <v>4</v>
      </c>
      <c r="GZ6" s="49" t="s">
        <v>5</v>
      </c>
      <c r="HA6" s="49" t="s">
        <v>53</v>
      </c>
      <c r="HB6" s="49" t="s">
        <v>2</v>
      </c>
      <c r="HC6" s="49" t="s">
        <v>3</v>
      </c>
      <c r="HD6" s="49" t="s">
        <v>4</v>
      </c>
      <c r="HE6" s="49" t="s">
        <v>5</v>
      </c>
      <c r="HF6" s="49" t="s">
        <v>53</v>
      </c>
      <c r="HG6" s="49" t="s">
        <v>2</v>
      </c>
      <c r="HH6" s="49" t="s">
        <v>3</v>
      </c>
      <c r="HI6" s="49" t="s">
        <v>4</v>
      </c>
      <c r="HJ6" s="49" t="s">
        <v>5</v>
      </c>
      <c r="HK6" s="49" t="s">
        <v>53</v>
      </c>
      <c r="HL6" s="49" t="s">
        <v>2</v>
      </c>
      <c r="HM6" s="49" t="s">
        <v>3</v>
      </c>
      <c r="HN6" s="49" t="s">
        <v>4</v>
      </c>
      <c r="HO6" s="49" t="s">
        <v>5</v>
      </c>
      <c r="HP6" s="49" t="s">
        <v>53</v>
      </c>
      <c r="HQ6" s="49" t="s">
        <v>2</v>
      </c>
      <c r="HR6" s="49" t="s">
        <v>3</v>
      </c>
      <c r="HS6" s="49" t="s">
        <v>4</v>
      </c>
      <c r="HT6" s="49" t="s">
        <v>5</v>
      </c>
      <c r="HU6" s="49" t="s">
        <v>53</v>
      </c>
      <c r="HV6" s="49" t="s">
        <v>2</v>
      </c>
      <c r="HW6" s="49" t="s">
        <v>3</v>
      </c>
      <c r="HX6" s="49" t="s">
        <v>4</v>
      </c>
      <c r="HY6" s="49" t="s">
        <v>5</v>
      </c>
      <c r="HZ6" s="49" t="s">
        <v>53</v>
      </c>
      <c r="IA6" s="49" t="s">
        <v>2</v>
      </c>
      <c r="IB6" s="49" t="s">
        <v>3</v>
      </c>
      <c r="IC6" s="49" t="s">
        <v>4</v>
      </c>
      <c r="ID6" s="49" t="s">
        <v>5</v>
      </c>
      <c r="IE6" s="49" t="s">
        <v>53</v>
      </c>
      <c r="IF6" s="49" t="s">
        <v>2</v>
      </c>
      <c r="IG6" s="49" t="s">
        <v>3</v>
      </c>
      <c r="IH6" s="49" t="s">
        <v>4</v>
      </c>
      <c r="II6" s="49" t="s">
        <v>5</v>
      </c>
      <c r="IJ6" s="49" t="s">
        <v>53</v>
      </c>
      <c r="IK6" s="49" t="s">
        <v>2</v>
      </c>
      <c r="IL6" s="49" t="s">
        <v>3</v>
      </c>
      <c r="IM6" s="49" t="s">
        <v>4</v>
      </c>
      <c r="IN6" s="49" t="s">
        <v>5</v>
      </c>
      <c r="IO6" s="49" t="s">
        <v>53</v>
      </c>
      <c r="IP6" s="49" t="s">
        <v>2</v>
      </c>
      <c r="IQ6" s="49" t="s">
        <v>3</v>
      </c>
      <c r="IR6" s="49" t="s">
        <v>4</v>
      </c>
      <c r="IS6" s="49" t="s">
        <v>5</v>
      </c>
      <c r="IT6" s="49" t="s">
        <v>53</v>
      </c>
      <c r="IU6" s="49" t="s">
        <v>2</v>
      </c>
      <c r="IV6" s="49" t="s">
        <v>3</v>
      </c>
      <c r="IW6" s="49" t="s">
        <v>4</v>
      </c>
      <c r="IX6" s="49" t="s">
        <v>5</v>
      </c>
      <c r="IY6" s="49" t="s">
        <v>53</v>
      </c>
      <c r="IZ6" s="49" t="s">
        <v>2</v>
      </c>
      <c r="JA6" s="49" t="s">
        <v>3</v>
      </c>
      <c r="JB6" s="49" t="s">
        <v>4</v>
      </c>
      <c r="JC6" s="49" t="s">
        <v>5</v>
      </c>
      <c r="JD6" s="49" t="s">
        <v>53</v>
      </c>
      <c r="JE6" s="49" t="s">
        <v>2</v>
      </c>
      <c r="JF6" s="49" t="s">
        <v>3</v>
      </c>
      <c r="JG6" s="49" t="s">
        <v>4</v>
      </c>
      <c r="JH6" s="49" t="s">
        <v>5</v>
      </c>
      <c r="JI6" s="49" t="s">
        <v>53</v>
      </c>
      <c r="JJ6" s="49" t="s">
        <v>2</v>
      </c>
      <c r="JK6" s="49" t="s">
        <v>3</v>
      </c>
      <c r="JL6" s="49" t="s">
        <v>4</v>
      </c>
      <c r="JM6" s="49" t="s">
        <v>5</v>
      </c>
      <c r="JN6" s="49" t="s">
        <v>53</v>
      </c>
      <c r="JO6" s="49" t="s">
        <v>2</v>
      </c>
      <c r="JP6" s="49" t="s">
        <v>3</v>
      </c>
      <c r="JQ6" s="49" t="s">
        <v>4</v>
      </c>
      <c r="JR6" s="49" t="s">
        <v>5</v>
      </c>
      <c r="JS6" s="49" t="s">
        <v>53</v>
      </c>
      <c r="JT6" s="49" t="s">
        <v>2</v>
      </c>
      <c r="JU6" s="49" t="s">
        <v>3</v>
      </c>
      <c r="JV6" s="49" t="s">
        <v>4</v>
      </c>
      <c r="JW6" s="49" t="s">
        <v>5</v>
      </c>
      <c r="JX6" s="49" t="s">
        <v>53</v>
      </c>
      <c r="JY6" s="49" t="s">
        <v>2</v>
      </c>
      <c r="JZ6" s="49" t="s">
        <v>3</v>
      </c>
      <c r="KA6" s="49" t="s">
        <v>4</v>
      </c>
      <c r="KB6" s="49" t="s">
        <v>5</v>
      </c>
      <c r="KC6" s="49" t="s">
        <v>53</v>
      </c>
      <c r="KD6" s="49" t="s">
        <v>2</v>
      </c>
      <c r="KE6" s="49" t="s">
        <v>3</v>
      </c>
      <c r="KF6" s="49" t="s">
        <v>4</v>
      </c>
      <c r="KG6" s="49" t="s">
        <v>5</v>
      </c>
      <c r="KH6" s="49" t="s">
        <v>53</v>
      </c>
      <c r="KI6" s="49" t="s">
        <v>2</v>
      </c>
      <c r="KJ6" s="49" t="s">
        <v>3</v>
      </c>
      <c r="KK6" s="49" t="s">
        <v>4</v>
      </c>
      <c r="KL6" s="49" t="s">
        <v>5</v>
      </c>
      <c r="KM6" s="49" t="s">
        <v>53</v>
      </c>
      <c r="KN6" s="49" t="s">
        <v>2</v>
      </c>
      <c r="KO6" s="49" t="s">
        <v>3</v>
      </c>
      <c r="KP6" s="49" t="s">
        <v>4</v>
      </c>
      <c r="KQ6" s="49" t="s">
        <v>5</v>
      </c>
      <c r="KR6" s="49" t="s">
        <v>53</v>
      </c>
      <c r="KS6" s="49" t="s">
        <v>2</v>
      </c>
      <c r="KT6" s="49" t="s">
        <v>3</v>
      </c>
      <c r="KU6" s="49" t="s">
        <v>4</v>
      </c>
      <c r="KV6" s="49" t="s">
        <v>5</v>
      </c>
      <c r="KW6" s="49" t="s">
        <v>53</v>
      </c>
      <c r="KX6" s="49" t="s">
        <v>2</v>
      </c>
      <c r="KY6" s="49" t="s">
        <v>3</v>
      </c>
      <c r="KZ6" s="49" t="s">
        <v>4</v>
      </c>
      <c r="LA6" s="49" t="s">
        <v>5</v>
      </c>
      <c r="LB6" s="49" t="s">
        <v>53</v>
      </c>
      <c r="LC6" s="49" t="s">
        <v>2</v>
      </c>
      <c r="LD6" s="49" t="s">
        <v>3</v>
      </c>
      <c r="LE6" s="49" t="s">
        <v>4</v>
      </c>
      <c r="LF6" s="49" t="s">
        <v>5</v>
      </c>
      <c r="LG6" s="49" t="s">
        <v>53</v>
      </c>
      <c r="LH6" s="49" t="s">
        <v>2</v>
      </c>
      <c r="LI6" s="49" t="s">
        <v>3</v>
      </c>
      <c r="LJ6" s="49" t="s">
        <v>4</v>
      </c>
      <c r="LK6" s="49" t="s">
        <v>5</v>
      </c>
      <c r="LL6" s="49" t="s">
        <v>53</v>
      </c>
      <c r="LM6" s="49" t="s">
        <v>2</v>
      </c>
      <c r="LN6" s="49" t="s">
        <v>3</v>
      </c>
      <c r="LO6" s="49" t="s">
        <v>4</v>
      </c>
      <c r="LP6" s="49" t="s">
        <v>5</v>
      </c>
      <c r="LQ6" s="49" t="s">
        <v>53</v>
      </c>
      <c r="LR6" s="49" t="s">
        <v>2</v>
      </c>
      <c r="LS6" s="49" t="s">
        <v>3</v>
      </c>
      <c r="LT6" s="49" t="s">
        <v>4</v>
      </c>
      <c r="LU6" s="49" t="s">
        <v>5</v>
      </c>
      <c r="LV6" s="49" t="s">
        <v>53</v>
      </c>
      <c r="LW6" s="49" t="s">
        <v>2</v>
      </c>
      <c r="LX6" s="49" t="s">
        <v>3</v>
      </c>
      <c r="LY6" s="49" t="s">
        <v>4</v>
      </c>
      <c r="LZ6" s="49" t="s">
        <v>5</v>
      </c>
      <c r="MA6" s="49" t="s">
        <v>53</v>
      </c>
      <c r="MB6" s="49" t="s">
        <v>2</v>
      </c>
      <c r="MC6" s="49" t="s">
        <v>3</v>
      </c>
      <c r="MD6" s="49" t="s">
        <v>4</v>
      </c>
      <c r="ME6" s="49" t="s">
        <v>5</v>
      </c>
      <c r="MF6" s="49" t="s">
        <v>53</v>
      </c>
      <c r="MG6" s="49" t="s">
        <v>2</v>
      </c>
      <c r="MH6" s="49" t="s">
        <v>3</v>
      </c>
      <c r="MI6" s="49" t="s">
        <v>4</v>
      </c>
      <c r="MJ6" s="49" t="s">
        <v>5</v>
      </c>
      <c r="MK6" s="49" t="s">
        <v>53</v>
      </c>
      <c r="ML6" s="49" t="s">
        <v>2</v>
      </c>
      <c r="MM6" s="49" t="s">
        <v>3</v>
      </c>
      <c r="MN6" s="49" t="s">
        <v>4</v>
      </c>
      <c r="MO6" s="49" t="s">
        <v>5</v>
      </c>
      <c r="MP6" s="49" t="s">
        <v>53</v>
      </c>
      <c r="MQ6" s="49" t="s">
        <v>2</v>
      </c>
      <c r="MR6" s="49" t="s">
        <v>3</v>
      </c>
      <c r="MS6" s="49" t="s">
        <v>4</v>
      </c>
      <c r="MT6" s="49" t="s">
        <v>5</v>
      </c>
      <c r="MU6" s="49" t="s">
        <v>53</v>
      </c>
      <c r="MV6" s="49" t="s">
        <v>2</v>
      </c>
      <c r="MW6" s="49" t="s">
        <v>3</v>
      </c>
      <c r="MX6" s="49" t="s">
        <v>4</v>
      </c>
      <c r="MY6" s="49" t="s">
        <v>5</v>
      </c>
      <c r="MZ6" s="49" t="s">
        <v>53</v>
      </c>
      <c r="NA6" s="49" t="s">
        <v>2</v>
      </c>
      <c r="NB6" s="49" t="s">
        <v>3</v>
      </c>
      <c r="NC6" s="49" t="s">
        <v>4</v>
      </c>
      <c r="ND6" s="49" t="s">
        <v>5</v>
      </c>
      <c r="NE6" s="34" t="s">
        <v>53</v>
      </c>
      <c r="NF6" s="38" t="s">
        <v>2</v>
      </c>
      <c r="NG6" s="38" t="s">
        <v>3</v>
      </c>
      <c r="NH6" s="34" t="s">
        <v>4</v>
      </c>
      <c r="NI6" s="34" t="s">
        <v>5</v>
      </c>
      <c r="NJ6" s="34" t="s">
        <v>53</v>
      </c>
      <c r="NK6" s="38" t="s">
        <v>2</v>
      </c>
      <c r="NL6" s="38" t="s">
        <v>3</v>
      </c>
      <c r="NM6" s="34" t="s">
        <v>4</v>
      </c>
      <c r="NN6" s="34" t="s">
        <v>5</v>
      </c>
      <c r="NO6" s="49" t="s">
        <v>2</v>
      </c>
      <c r="NP6" s="49" t="s">
        <v>3</v>
      </c>
      <c r="NQ6" s="49" t="s">
        <v>4</v>
      </c>
      <c r="NR6" s="49" t="s">
        <v>5</v>
      </c>
      <c r="NS6" s="49" t="s">
        <v>2</v>
      </c>
      <c r="NT6" s="49" t="s">
        <v>3</v>
      </c>
      <c r="NU6" s="49" t="s">
        <v>4</v>
      </c>
      <c r="NV6" s="49" t="s">
        <v>5</v>
      </c>
      <c r="NW6" s="6"/>
    </row>
    <row r="7" spans="1:387" s="5" customFormat="1" ht="18" customHeight="1">
      <c r="A7" s="12"/>
      <c r="B7" s="62" t="s">
        <v>45</v>
      </c>
      <c r="C7" s="63">
        <v>110001</v>
      </c>
      <c r="D7" s="64" t="s">
        <v>46</v>
      </c>
      <c r="E7" s="93">
        <v>1809</v>
      </c>
      <c r="F7" s="63">
        <v>62</v>
      </c>
      <c r="G7" s="63">
        <v>74</v>
      </c>
      <c r="H7" s="63">
        <v>-12</v>
      </c>
      <c r="I7" s="93">
        <v>1815</v>
      </c>
      <c r="J7" s="63">
        <v>79</v>
      </c>
      <c r="K7" s="63">
        <v>73</v>
      </c>
      <c r="L7" s="63">
        <v>6</v>
      </c>
      <c r="M7" s="94">
        <v>0.3316749632358551</v>
      </c>
      <c r="N7" s="93">
        <v>1800</v>
      </c>
      <c r="O7" s="65">
        <v>69</v>
      </c>
      <c r="P7" s="65">
        <v>84</v>
      </c>
      <c r="Q7" s="65">
        <v>-15</v>
      </c>
      <c r="R7" s="94">
        <v>-0.8264462947845459</v>
      </c>
      <c r="S7" s="93">
        <v>1771</v>
      </c>
      <c r="T7" s="65">
        <v>39</v>
      </c>
      <c r="U7" s="65">
        <v>68</v>
      </c>
      <c r="V7" s="65">
        <v>-29</v>
      </c>
      <c r="W7" s="94">
        <v>-1.6111111640930176</v>
      </c>
      <c r="X7" s="93">
        <v>1767</v>
      </c>
      <c r="Y7" s="65">
        <v>42</v>
      </c>
      <c r="Z7" s="65">
        <v>46</v>
      </c>
      <c r="AA7" s="65">
        <v>-4</v>
      </c>
      <c r="AB7" s="94">
        <v>-0.22586110234260559</v>
      </c>
      <c r="AC7" s="93">
        <v>1783</v>
      </c>
      <c r="AD7" s="65">
        <v>58</v>
      </c>
      <c r="AE7" s="65">
        <v>42</v>
      </c>
      <c r="AF7" s="65">
        <v>16</v>
      </c>
      <c r="AG7" s="94">
        <v>0.90548950433731079</v>
      </c>
      <c r="AH7" s="93">
        <v>1792</v>
      </c>
      <c r="AI7" s="65">
        <v>50</v>
      </c>
      <c r="AJ7" s="65">
        <v>41</v>
      </c>
      <c r="AK7" s="65">
        <v>9</v>
      </c>
      <c r="AL7" s="94">
        <v>0.50476723909378052</v>
      </c>
      <c r="AM7" s="93">
        <v>1812</v>
      </c>
      <c r="AN7" s="65">
        <v>66</v>
      </c>
      <c r="AO7" s="65">
        <v>46</v>
      </c>
      <c r="AP7" s="65">
        <v>20</v>
      </c>
      <c r="AQ7" s="94">
        <v>1.1160714626312256</v>
      </c>
      <c r="AR7" s="93">
        <v>1857</v>
      </c>
      <c r="AS7" s="65">
        <v>92</v>
      </c>
      <c r="AT7" s="65">
        <v>47</v>
      </c>
      <c r="AU7" s="65">
        <v>45</v>
      </c>
      <c r="AV7" s="94">
        <v>2.4834437370300293</v>
      </c>
      <c r="AW7" s="93">
        <v>1866</v>
      </c>
      <c r="AX7" s="65">
        <v>65</v>
      </c>
      <c r="AY7" s="65">
        <v>56</v>
      </c>
      <c r="AZ7" s="65">
        <v>9</v>
      </c>
      <c r="BA7" s="94">
        <v>0.48465266823768616</v>
      </c>
      <c r="BB7" s="93">
        <v>1899</v>
      </c>
      <c r="BC7" s="65">
        <v>84</v>
      </c>
      <c r="BD7" s="65">
        <v>51</v>
      </c>
      <c r="BE7" s="65">
        <v>33</v>
      </c>
      <c r="BF7" s="94">
        <v>1.7684887647628784</v>
      </c>
      <c r="BG7" s="93">
        <v>1914</v>
      </c>
      <c r="BH7" s="65">
        <v>50</v>
      </c>
      <c r="BI7" s="65">
        <v>35</v>
      </c>
      <c r="BJ7" s="65">
        <v>15</v>
      </c>
      <c r="BK7" s="94">
        <v>0.78988939523696899</v>
      </c>
      <c r="BL7" s="93">
        <v>1938</v>
      </c>
      <c r="BM7" s="65">
        <v>111</v>
      </c>
      <c r="BN7" s="65">
        <v>87</v>
      </c>
      <c r="BO7" s="65">
        <v>24</v>
      </c>
      <c r="BP7" s="94">
        <v>1.2539185285568237</v>
      </c>
      <c r="BQ7" s="93">
        <v>1960</v>
      </c>
      <c r="BR7" s="65">
        <v>91</v>
      </c>
      <c r="BS7" s="65">
        <v>69</v>
      </c>
      <c r="BT7" s="65">
        <v>22</v>
      </c>
      <c r="BU7" s="94">
        <v>1.1351909637451172</v>
      </c>
      <c r="BV7" s="93">
        <v>1959</v>
      </c>
      <c r="BW7" s="65">
        <v>99</v>
      </c>
      <c r="BX7" s="65">
        <v>100</v>
      </c>
      <c r="BY7" s="65">
        <v>-1</v>
      </c>
      <c r="BZ7" s="94">
        <v>-5.1020409911870956E-2</v>
      </c>
      <c r="CA7" s="93">
        <v>1988</v>
      </c>
      <c r="CB7" s="65">
        <v>88</v>
      </c>
      <c r="CC7" s="65">
        <v>59</v>
      </c>
      <c r="CD7" s="65">
        <v>29</v>
      </c>
      <c r="CE7" s="94">
        <v>1.4803471565246582</v>
      </c>
      <c r="CF7" s="93">
        <v>2027</v>
      </c>
      <c r="CG7" s="65">
        <v>102</v>
      </c>
      <c r="CH7" s="65">
        <v>63</v>
      </c>
      <c r="CI7" s="65">
        <v>39</v>
      </c>
      <c r="CJ7" s="94">
        <v>1.9617706537246704</v>
      </c>
      <c r="CK7" s="93">
        <v>2050</v>
      </c>
      <c r="CL7" s="65">
        <v>92</v>
      </c>
      <c r="CM7" s="65">
        <v>69</v>
      </c>
      <c r="CN7" s="65">
        <v>23</v>
      </c>
      <c r="CO7" s="94">
        <v>1.1346818208694458</v>
      </c>
      <c r="CP7" s="93">
        <v>2076</v>
      </c>
      <c r="CQ7" s="65">
        <v>116</v>
      </c>
      <c r="CR7" s="65">
        <v>90</v>
      </c>
      <c r="CS7" s="65">
        <v>26</v>
      </c>
      <c r="CT7" s="94">
        <v>1.2682926654815674</v>
      </c>
      <c r="CU7" s="93">
        <v>2097</v>
      </c>
      <c r="CV7" s="65">
        <v>114</v>
      </c>
      <c r="CW7" s="65">
        <v>93</v>
      </c>
      <c r="CX7" s="65">
        <v>21</v>
      </c>
      <c r="CY7" s="94">
        <v>1.0115606784820557</v>
      </c>
      <c r="CZ7" s="93">
        <v>2108</v>
      </c>
      <c r="DA7" s="65">
        <v>95</v>
      </c>
      <c r="DB7" s="65">
        <v>84</v>
      </c>
      <c r="DC7" s="65">
        <v>11</v>
      </c>
      <c r="DD7" s="94">
        <v>0.5245589017868042</v>
      </c>
      <c r="DE7" s="93">
        <v>2132</v>
      </c>
      <c r="DF7" s="65">
        <v>107</v>
      </c>
      <c r="DG7" s="65">
        <v>83</v>
      </c>
      <c r="DH7" s="65">
        <v>24</v>
      </c>
      <c r="DI7" s="94">
        <v>1.1385198831558228</v>
      </c>
      <c r="DJ7" s="93">
        <v>2128</v>
      </c>
      <c r="DK7" s="65">
        <v>85</v>
      </c>
      <c r="DL7" s="65">
        <v>89</v>
      </c>
      <c r="DM7" s="65">
        <v>-4</v>
      </c>
      <c r="DN7" s="94">
        <v>-0.18761725723743439</v>
      </c>
      <c r="DO7" s="93">
        <v>2047</v>
      </c>
      <c r="DP7" s="65">
        <v>57</v>
      </c>
      <c r="DQ7" s="65">
        <v>138</v>
      </c>
      <c r="DR7" s="65">
        <v>-81</v>
      </c>
      <c r="DS7" s="94">
        <v>-3.8063910007476807</v>
      </c>
      <c r="DT7" s="93">
        <v>2062</v>
      </c>
      <c r="DU7" s="65">
        <v>113</v>
      </c>
      <c r="DV7" s="65">
        <v>98</v>
      </c>
      <c r="DW7" s="65">
        <v>15</v>
      </c>
      <c r="DX7" s="94">
        <v>0.73277968168258667</v>
      </c>
      <c r="DY7" s="93">
        <v>2070</v>
      </c>
      <c r="DZ7" s="65">
        <v>91</v>
      </c>
      <c r="EA7" s="65">
        <v>83</v>
      </c>
      <c r="EB7" s="65">
        <v>8</v>
      </c>
      <c r="EC7" s="94">
        <v>0.38797283172607422</v>
      </c>
      <c r="ED7" s="93">
        <v>2090</v>
      </c>
      <c r="EE7" s="65">
        <v>131</v>
      </c>
      <c r="EF7" s="65">
        <v>111</v>
      </c>
      <c r="EG7" s="65">
        <v>20</v>
      </c>
      <c r="EH7" s="94">
        <v>0.96618360280990601</v>
      </c>
      <c r="EI7" s="93">
        <v>2124</v>
      </c>
      <c r="EJ7" s="65">
        <v>131</v>
      </c>
      <c r="EK7" s="65">
        <v>97</v>
      </c>
      <c r="EL7" s="65">
        <v>34</v>
      </c>
      <c r="EM7" s="94">
        <v>1.6267942190170288</v>
      </c>
      <c r="EN7" s="93">
        <v>2162</v>
      </c>
      <c r="EO7" s="65">
        <v>113</v>
      </c>
      <c r="EP7" s="65">
        <v>75</v>
      </c>
      <c r="EQ7" s="65">
        <v>38</v>
      </c>
      <c r="ER7" s="94">
        <v>1.7890771627426147</v>
      </c>
      <c r="ES7" s="93">
        <v>2173</v>
      </c>
      <c r="ET7" s="65">
        <v>115</v>
      </c>
      <c r="EU7" s="65">
        <v>104</v>
      </c>
      <c r="EV7" s="65">
        <v>11</v>
      </c>
      <c r="EW7" s="94">
        <v>0.50878816843032837</v>
      </c>
      <c r="EX7" s="93">
        <v>2190</v>
      </c>
      <c r="EY7" s="65">
        <v>109</v>
      </c>
      <c r="EZ7" s="65">
        <v>92</v>
      </c>
      <c r="FA7" s="65">
        <v>17</v>
      </c>
      <c r="FB7" s="94">
        <v>0.78232860565185547</v>
      </c>
      <c r="FC7" s="93">
        <v>2222</v>
      </c>
      <c r="FD7" s="65">
        <v>140</v>
      </c>
      <c r="FE7" s="65">
        <v>108</v>
      </c>
      <c r="FF7" s="65">
        <v>32</v>
      </c>
      <c r="FG7" s="94">
        <v>1.4611872434616089</v>
      </c>
      <c r="FH7" s="93">
        <v>2221</v>
      </c>
      <c r="FI7" s="65">
        <v>107</v>
      </c>
      <c r="FJ7" s="65">
        <v>108</v>
      </c>
      <c r="FK7" s="65">
        <v>-1</v>
      </c>
      <c r="FL7" s="94">
        <v>-4.5004501938819885E-2</v>
      </c>
      <c r="FM7" s="93">
        <v>2232</v>
      </c>
      <c r="FN7" s="65">
        <v>95</v>
      </c>
      <c r="FO7" s="65">
        <v>84</v>
      </c>
      <c r="FP7" s="65">
        <v>11</v>
      </c>
      <c r="FQ7" s="94">
        <v>0.49527239799499512</v>
      </c>
      <c r="FR7" s="93">
        <v>2238</v>
      </c>
      <c r="FS7" s="65">
        <v>80</v>
      </c>
      <c r="FT7" s="65">
        <v>74</v>
      </c>
      <c r="FU7" s="65">
        <v>6</v>
      </c>
      <c r="FV7" s="94">
        <v>0.26881721615791321</v>
      </c>
      <c r="FW7" s="93">
        <v>2257</v>
      </c>
      <c r="FX7" s="65">
        <v>78</v>
      </c>
      <c r="FY7" s="65">
        <v>59</v>
      </c>
      <c r="FZ7" s="65">
        <v>19</v>
      </c>
      <c r="GA7" s="94">
        <v>0.84897232055664063</v>
      </c>
      <c r="GB7" s="93">
        <v>2263</v>
      </c>
      <c r="GC7" s="65">
        <v>112</v>
      </c>
      <c r="GD7" s="65">
        <v>106</v>
      </c>
      <c r="GE7" s="65">
        <v>6</v>
      </c>
      <c r="GF7" s="94">
        <v>0.26583960652351379</v>
      </c>
      <c r="GG7" s="93">
        <v>2270</v>
      </c>
      <c r="GH7" s="65">
        <v>111</v>
      </c>
      <c r="GI7" s="65">
        <v>104</v>
      </c>
      <c r="GJ7" s="65">
        <v>7</v>
      </c>
      <c r="GK7" s="94">
        <v>0.30932390689849854</v>
      </c>
      <c r="GL7" s="93">
        <v>2251</v>
      </c>
      <c r="GM7" s="65">
        <v>105</v>
      </c>
      <c r="GN7" s="65">
        <v>124</v>
      </c>
      <c r="GO7" s="65">
        <v>-19</v>
      </c>
      <c r="GP7" s="94">
        <v>-0.83700442314147949</v>
      </c>
      <c r="GQ7" s="93">
        <v>2245</v>
      </c>
      <c r="GR7" s="59">
        <v>89</v>
      </c>
      <c r="GS7" s="59">
        <v>95</v>
      </c>
      <c r="GT7" s="59">
        <v>-6</v>
      </c>
      <c r="GU7" s="94">
        <v>-0.26654818654060364</v>
      </c>
      <c r="GV7" s="93">
        <v>2246</v>
      </c>
      <c r="GW7" s="59">
        <v>88</v>
      </c>
      <c r="GX7" s="59">
        <v>87</v>
      </c>
      <c r="GY7" s="59">
        <v>1</v>
      </c>
      <c r="GZ7" s="94">
        <v>4.4543430209159851E-2</v>
      </c>
      <c r="HA7" s="93">
        <v>2211</v>
      </c>
      <c r="HB7" s="59">
        <v>73</v>
      </c>
      <c r="HC7" s="59">
        <v>108</v>
      </c>
      <c r="HD7" s="59">
        <v>-35</v>
      </c>
      <c r="HE7" s="94">
        <v>-1.5583258867263794</v>
      </c>
      <c r="HF7" s="93">
        <v>2264</v>
      </c>
      <c r="HG7" s="59">
        <v>126</v>
      </c>
      <c r="HH7" s="59">
        <v>73</v>
      </c>
      <c r="HI7" s="59">
        <v>53</v>
      </c>
      <c r="HJ7" s="94">
        <v>2.3971054553985596</v>
      </c>
      <c r="HK7" s="93">
        <v>2268</v>
      </c>
      <c r="HL7" s="59">
        <v>122</v>
      </c>
      <c r="HM7" s="59">
        <v>118</v>
      </c>
      <c r="HN7" s="59">
        <v>4</v>
      </c>
      <c r="HO7" s="94">
        <v>0.17667844891548157</v>
      </c>
      <c r="HP7" s="93">
        <v>2301</v>
      </c>
      <c r="HQ7" s="59">
        <v>120</v>
      </c>
      <c r="HR7" s="59">
        <v>87</v>
      </c>
      <c r="HS7" s="59">
        <v>33</v>
      </c>
      <c r="HT7" s="94">
        <v>1.4550265073776245</v>
      </c>
      <c r="HU7" s="93">
        <v>2315</v>
      </c>
      <c r="HV7" s="59">
        <v>96</v>
      </c>
      <c r="HW7" s="59">
        <v>82</v>
      </c>
      <c r="HX7" s="59">
        <v>14</v>
      </c>
      <c r="HY7" s="94">
        <v>0.60843110084533691</v>
      </c>
      <c r="HZ7" s="93">
        <v>2336</v>
      </c>
      <c r="IA7" s="59">
        <v>96</v>
      </c>
      <c r="IB7" s="59">
        <v>75</v>
      </c>
      <c r="IC7" s="59">
        <v>21</v>
      </c>
      <c r="ID7" s="94">
        <v>0.90712743997573853</v>
      </c>
      <c r="IE7" s="93">
        <v>2293</v>
      </c>
      <c r="IF7" s="59">
        <v>56</v>
      </c>
      <c r="IG7" s="59">
        <v>99</v>
      </c>
      <c r="IH7" s="59">
        <v>-43</v>
      </c>
      <c r="II7" s="94">
        <v>-1.840753436088562</v>
      </c>
      <c r="IJ7" s="93">
        <v>2299</v>
      </c>
      <c r="IK7" s="59">
        <v>120</v>
      </c>
      <c r="IL7" s="59">
        <v>114</v>
      </c>
      <c r="IM7" s="59">
        <v>6</v>
      </c>
      <c r="IN7" s="94">
        <v>0.261665940284729</v>
      </c>
      <c r="IO7" s="93">
        <v>2289</v>
      </c>
      <c r="IP7" s="59">
        <v>88</v>
      </c>
      <c r="IQ7" s="59">
        <v>98</v>
      </c>
      <c r="IR7" s="59">
        <v>-10</v>
      </c>
      <c r="IS7" s="94">
        <v>-0.43497171998023987</v>
      </c>
      <c r="IT7" s="93">
        <v>2287</v>
      </c>
      <c r="IU7" s="59">
        <v>105</v>
      </c>
      <c r="IV7" s="59">
        <v>107</v>
      </c>
      <c r="IW7" s="59">
        <v>-2</v>
      </c>
      <c r="IX7" s="94">
        <v>-8.7374396622180939E-2</v>
      </c>
      <c r="IY7" s="93">
        <v>2300</v>
      </c>
      <c r="IZ7" s="59">
        <v>105</v>
      </c>
      <c r="JA7" s="59">
        <v>92</v>
      </c>
      <c r="JB7" s="59">
        <v>13</v>
      </c>
      <c r="JC7" s="94">
        <v>0.56843024492263794</v>
      </c>
      <c r="JD7" s="93">
        <v>2287</v>
      </c>
      <c r="JE7" s="59">
        <v>85</v>
      </c>
      <c r="JF7" s="59">
        <v>98</v>
      </c>
      <c r="JG7" s="59">
        <v>-13</v>
      </c>
      <c r="JH7" s="94">
        <v>-0.56521737575531006</v>
      </c>
      <c r="JI7" s="93">
        <v>2306</v>
      </c>
      <c r="JJ7" s="59">
        <v>95</v>
      </c>
      <c r="JK7" s="59">
        <v>76</v>
      </c>
      <c r="JL7" s="59">
        <v>19</v>
      </c>
      <c r="JM7" s="94">
        <v>0.83078271150588989</v>
      </c>
      <c r="JN7" s="93">
        <v>2328</v>
      </c>
      <c r="JO7" s="59">
        <v>107</v>
      </c>
      <c r="JP7" s="59">
        <v>85</v>
      </c>
      <c r="JQ7" s="59">
        <v>22</v>
      </c>
      <c r="JR7" s="94">
        <v>0.95403295755386353</v>
      </c>
      <c r="JS7" s="93">
        <v>2321</v>
      </c>
      <c r="JT7" s="59">
        <v>106</v>
      </c>
      <c r="JU7" s="59">
        <v>113</v>
      </c>
      <c r="JV7" s="59">
        <v>-7</v>
      </c>
      <c r="JW7" s="94">
        <v>-0.3006872832775116</v>
      </c>
      <c r="JX7" s="93">
        <v>2354</v>
      </c>
      <c r="JY7" s="59">
        <v>119</v>
      </c>
      <c r="JZ7" s="59">
        <v>86</v>
      </c>
      <c r="KA7" s="59">
        <v>33</v>
      </c>
      <c r="KB7" s="94">
        <v>1.421800971031189</v>
      </c>
      <c r="KC7" s="93">
        <v>2367</v>
      </c>
      <c r="KD7" s="59">
        <v>103</v>
      </c>
      <c r="KE7" s="59">
        <v>90</v>
      </c>
      <c r="KF7" s="59">
        <v>13</v>
      </c>
      <c r="KG7" s="94">
        <v>0.55225145816802979</v>
      </c>
      <c r="KH7" s="93">
        <v>2376</v>
      </c>
      <c r="KI7" s="59">
        <v>91</v>
      </c>
      <c r="KJ7" s="59">
        <v>82</v>
      </c>
      <c r="KK7" s="59">
        <v>9</v>
      </c>
      <c r="KL7" s="94">
        <v>0.38022813200950623</v>
      </c>
      <c r="KM7" s="93">
        <v>2342</v>
      </c>
      <c r="KN7" s="59">
        <v>64</v>
      </c>
      <c r="KO7" s="59">
        <v>98</v>
      </c>
      <c r="KP7" s="59">
        <v>-34</v>
      </c>
      <c r="KQ7" s="94">
        <v>-1.430976390838623</v>
      </c>
      <c r="KR7" s="93">
        <v>2358</v>
      </c>
      <c r="KS7" s="59">
        <v>129</v>
      </c>
      <c r="KT7" s="59">
        <v>113</v>
      </c>
      <c r="KU7" s="59">
        <v>16</v>
      </c>
      <c r="KV7" s="94">
        <v>0.68317675590515137</v>
      </c>
      <c r="KW7" s="93">
        <v>2346</v>
      </c>
      <c r="KX7" s="59">
        <v>102</v>
      </c>
      <c r="KY7" s="59">
        <v>114</v>
      </c>
      <c r="KZ7" s="59">
        <v>-12</v>
      </c>
      <c r="LA7" s="94">
        <v>-0.50890582799911499</v>
      </c>
      <c r="LB7" s="93">
        <v>2343</v>
      </c>
      <c r="LC7" s="59">
        <v>119</v>
      </c>
      <c r="LD7" s="59">
        <v>122</v>
      </c>
      <c r="LE7" s="59">
        <v>-3</v>
      </c>
      <c r="LF7" s="94">
        <v>-0.12787723541259766</v>
      </c>
      <c r="LG7" s="93">
        <v>2317</v>
      </c>
      <c r="LH7" s="59">
        <v>104</v>
      </c>
      <c r="LI7" s="59">
        <v>130</v>
      </c>
      <c r="LJ7" s="59">
        <v>-26</v>
      </c>
      <c r="LK7" s="94">
        <v>-1.109688401222229</v>
      </c>
      <c r="LL7" s="93">
        <v>2318</v>
      </c>
      <c r="LM7" s="59">
        <v>121</v>
      </c>
      <c r="LN7" s="59">
        <v>120</v>
      </c>
      <c r="LO7" s="59">
        <v>1</v>
      </c>
      <c r="LP7" s="94">
        <v>4.3159257620573044E-2</v>
      </c>
      <c r="LQ7" s="93">
        <v>2337</v>
      </c>
      <c r="LR7" s="59">
        <v>121</v>
      </c>
      <c r="LS7" s="59">
        <v>102</v>
      </c>
      <c r="LT7" s="59">
        <v>19</v>
      </c>
      <c r="LU7" s="94">
        <v>0.8196721076965332</v>
      </c>
      <c r="LV7" s="93">
        <v>2364</v>
      </c>
      <c r="LW7" s="59">
        <v>128</v>
      </c>
      <c r="LX7" s="59">
        <v>101</v>
      </c>
      <c r="LY7" s="59">
        <v>27</v>
      </c>
      <c r="LZ7" s="94">
        <v>1.155327320098877</v>
      </c>
      <c r="MA7" s="93">
        <v>2369</v>
      </c>
      <c r="MB7" s="59">
        <v>100</v>
      </c>
      <c r="MC7" s="59">
        <v>95</v>
      </c>
      <c r="MD7" s="59">
        <v>5</v>
      </c>
      <c r="ME7" s="94">
        <v>0.21150591969490051</v>
      </c>
      <c r="MF7" s="93">
        <v>2392</v>
      </c>
      <c r="MG7" s="59">
        <v>111</v>
      </c>
      <c r="MH7" s="59">
        <v>88</v>
      </c>
      <c r="MI7" s="59">
        <v>23</v>
      </c>
      <c r="MJ7" s="94">
        <v>0.97087377309799194</v>
      </c>
      <c r="MK7" s="93">
        <v>2424</v>
      </c>
      <c r="ML7" s="59">
        <v>134</v>
      </c>
      <c r="MM7" s="59">
        <v>102</v>
      </c>
      <c r="MN7" s="59">
        <v>32</v>
      </c>
      <c r="MO7" s="94">
        <v>1.3377926349639893</v>
      </c>
      <c r="MP7" s="93">
        <v>2417</v>
      </c>
      <c r="MQ7" s="59">
        <v>97</v>
      </c>
      <c r="MR7" s="59">
        <v>104</v>
      </c>
      <c r="MS7" s="59">
        <v>-7</v>
      </c>
      <c r="MT7" s="94">
        <v>-0.2887788712978363</v>
      </c>
      <c r="MU7" s="93">
        <v>2422</v>
      </c>
      <c r="MV7" s="59">
        <v>90</v>
      </c>
      <c r="MW7" s="59">
        <v>85</v>
      </c>
      <c r="MX7" s="59">
        <v>5</v>
      </c>
      <c r="MY7" s="94">
        <v>0.20686802268028259</v>
      </c>
      <c r="MZ7" s="93">
        <v>2443</v>
      </c>
      <c r="NA7" s="59">
        <v>109</v>
      </c>
      <c r="NB7" s="59">
        <v>88</v>
      </c>
      <c r="NC7" s="59">
        <v>21</v>
      </c>
      <c r="ND7" s="94">
        <v>0.86705201864242554</v>
      </c>
      <c r="NE7" s="93">
        <v>2437</v>
      </c>
      <c r="NF7" s="93">
        <v>112</v>
      </c>
      <c r="NG7" s="93">
        <v>118</v>
      </c>
      <c r="NH7" s="93">
        <v>-6</v>
      </c>
      <c r="NI7" s="94">
        <v>-0.24559967219829559</v>
      </c>
      <c r="NJ7" s="93">
        <v>2435</v>
      </c>
      <c r="NK7" s="93">
        <v>120</v>
      </c>
      <c r="NL7" s="93">
        <v>122</v>
      </c>
      <c r="NM7" s="93">
        <v>-2</v>
      </c>
      <c r="NN7" s="94">
        <v>-8.2068115472793579E-2</v>
      </c>
      <c r="NO7" s="93">
        <f>SUM(NA7,NF7,NK7)</f>
        <v>341</v>
      </c>
      <c r="NP7" s="93">
        <f t="shared" ref="NP7:NQ7" si="0">SUM(NB7,NG7,NL7)</f>
        <v>328</v>
      </c>
      <c r="NQ7" s="93">
        <f t="shared" si="0"/>
        <v>13</v>
      </c>
      <c r="NR7" s="94">
        <f>(NQ7/MU7)*100</f>
        <v>0.53674649050371592</v>
      </c>
      <c r="NS7" s="59">
        <f>SUM(NF7,NA7,MV7,MQ7,ML7,MG7,MB7,LW7,LR7,LM7,LH7,NK7)</f>
        <v>1347</v>
      </c>
      <c r="NT7" s="59">
        <f t="shared" ref="NT7:NU7" si="1">SUM(NG7,NB7,MW7,MR7,MM7,MH7,MC7,LX7,LS7,LN7,LI7,NL7)</f>
        <v>1255</v>
      </c>
      <c r="NU7" s="59">
        <f t="shared" si="1"/>
        <v>92</v>
      </c>
      <c r="NV7" s="94">
        <f>NU7/(NJ7-NU7)*100</f>
        <v>3.9265898420827998</v>
      </c>
      <c r="NW7" s="12"/>
    </row>
    <row r="8" spans="1:387" s="5" customFormat="1" ht="18" customHeight="1">
      <c r="A8" s="12"/>
      <c r="B8" s="62" t="s">
        <v>45</v>
      </c>
      <c r="C8" s="63">
        <v>110002</v>
      </c>
      <c r="D8" s="64" t="s">
        <v>47</v>
      </c>
      <c r="E8" s="93">
        <v>16201</v>
      </c>
      <c r="F8" s="63">
        <v>675</v>
      </c>
      <c r="G8" s="63">
        <v>672</v>
      </c>
      <c r="H8" s="63">
        <v>3</v>
      </c>
      <c r="I8" s="93">
        <v>16283</v>
      </c>
      <c r="J8" s="63">
        <v>727</v>
      </c>
      <c r="K8" s="63">
        <v>645</v>
      </c>
      <c r="L8" s="63">
        <v>82</v>
      </c>
      <c r="M8" s="94">
        <v>0.50614160299301147</v>
      </c>
      <c r="N8" s="93">
        <v>16247</v>
      </c>
      <c r="O8" s="65">
        <v>698</v>
      </c>
      <c r="P8" s="65">
        <v>734</v>
      </c>
      <c r="Q8" s="65">
        <v>-36</v>
      </c>
      <c r="R8" s="94">
        <v>-0.22108948230743408</v>
      </c>
      <c r="S8" s="93">
        <v>15736</v>
      </c>
      <c r="T8" s="65">
        <v>276</v>
      </c>
      <c r="U8" s="65">
        <v>787</v>
      </c>
      <c r="V8" s="65">
        <v>-511</v>
      </c>
      <c r="W8" s="94">
        <v>-3.1451959609985352</v>
      </c>
      <c r="X8" s="93">
        <v>15465</v>
      </c>
      <c r="Y8" s="65">
        <v>275</v>
      </c>
      <c r="Z8" s="65">
        <v>546</v>
      </c>
      <c r="AA8" s="65">
        <v>-271</v>
      </c>
      <c r="AB8" s="94">
        <v>-1.7221657037734985</v>
      </c>
      <c r="AC8" s="93">
        <v>15452</v>
      </c>
      <c r="AD8" s="65">
        <v>420</v>
      </c>
      <c r="AE8" s="65">
        <v>433</v>
      </c>
      <c r="AF8" s="65">
        <v>-13</v>
      </c>
      <c r="AG8" s="94">
        <v>-8.4060780704021454E-2</v>
      </c>
      <c r="AH8" s="93">
        <v>15454</v>
      </c>
      <c r="AI8" s="65">
        <v>470</v>
      </c>
      <c r="AJ8" s="65">
        <v>468</v>
      </c>
      <c r="AK8" s="65">
        <v>2</v>
      </c>
      <c r="AL8" s="94">
        <v>1.2943307869136333E-2</v>
      </c>
      <c r="AM8" s="93">
        <v>15595</v>
      </c>
      <c r="AN8" s="65">
        <v>652</v>
      </c>
      <c r="AO8" s="65">
        <v>511</v>
      </c>
      <c r="AP8" s="65">
        <v>141</v>
      </c>
      <c r="AQ8" s="94">
        <v>0.91238516569137573</v>
      </c>
      <c r="AR8" s="93">
        <v>15747</v>
      </c>
      <c r="AS8" s="65">
        <v>711</v>
      </c>
      <c r="AT8" s="65">
        <v>559</v>
      </c>
      <c r="AU8" s="65">
        <v>152</v>
      </c>
      <c r="AV8" s="94">
        <v>0.97467136383056641</v>
      </c>
      <c r="AW8" s="93">
        <v>15952</v>
      </c>
      <c r="AX8" s="65">
        <v>803</v>
      </c>
      <c r="AY8" s="65">
        <v>598</v>
      </c>
      <c r="AZ8" s="65">
        <v>205</v>
      </c>
      <c r="BA8" s="94">
        <v>1.301835298538208</v>
      </c>
      <c r="BB8" s="93">
        <v>16099</v>
      </c>
      <c r="BC8" s="65">
        <v>693</v>
      </c>
      <c r="BD8" s="65">
        <v>546</v>
      </c>
      <c r="BE8" s="65">
        <v>147</v>
      </c>
      <c r="BF8" s="94">
        <v>0.92151457071304321</v>
      </c>
      <c r="BG8" s="93">
        <v>16154</v>
      </c>
      <c r="BH8" s="65">
        <v>507</v>
      </c>
      <c r="BI8" s="65">
        <v>452</v>
      </c>
      <c r="BJ8" s="65">
        <v>55</v>
      </c>
      <c r="BK8" s="94">
        <v>0.34163612127304077</v>
      </c>
      <c r="BL8" s="93">
        <v>16045</v>
      </c>
      <c r="BM8" s="65">
        <v>678</v>
      </c>
      <c r="BN8" s="65">
        <v>787</v>
      </c>
      <c r="BO8" s="65">
        <v>-109</v>
      </c>
      <c r="BP8" s="94">
        <v>-0.67475545406341553</v>
      </c>
      <c r="BQ8" s="93">
        <v>16232</v>
      </c>
      <c r="BR8" s="65">
        <v>870</v>
      </c>
      <c r="BS8" s="65">
        <v>683</v>
      </c>
      <c r="BT8" s="65">
        <v>187</v>
      </c>
      <c r="BU8" s="94">
        <v>1.165472149848938</v>
      </c>
      <c r="BV8" s="93">
        <v>16215</v>
      </c>
      <c r="BW8" s="65">
        <v>660</v>
      </c>
      <c r="BX8" s="65">
        <v>677</v>
      </c>
      <c r="BY8" s="65">
        <v>-17</v>
      </c>
      <c r="BZ8" s="94">
        <v>-0.10473139584064484</v>
      </c>
      <c r="CA8" s="93">
        <v>16311</v>
      </c>
      <c r="CB8" s="65">
        <v>696</v>
      </c>
      <c r="CC8" s="65">
        <v>600</v>
      </c>
      <c r="CD8" s="65">
        <v>96</v>
      </c>
      <c r="CE8" s="94">
        <v>0.5920444130897522</v>
      </c>
      <c r="CF8" s="93">
        <v>16400</v>
      </c>
      <c r="CG8" s="65">
        <v>760</v>
      </c>
      <c r="CH8" s="65">
        <v>671</v>
      </c>
      <c r="CI8" s="65">
        <v>89</v>
      </c>
      <c r="CJ8" s="94">
        <v>0.54564404487609863</v>
      </c>
      <c r="CK8" s="93">
        <v>16502</v>
      </c>
      <c r="CL8" s="65">
        <v>873</v>
      </c>
      <c r="CM8" s="65">
        <v>771</v>
      </c>
      <c r="CN8" s="65">
        <v>102</v>
      </c>
      <c r="CO8" s="94">
        <v>0.62195122241973877</v>
      </c>
      <c r="CP8" s="93">
        <v>16732</v>
      </c>
      <c r="CQ8" s="65">
        <v>966</v>
      </c>
      <c r="CR8" s="65">
        <v>736</v>
      </c>
      <c r="CS8" s="65">
        <v>230</v>
      </c>
      <c r="CT8" s="94">
        <v>1.3937704563140869</v>
      </c>
      <c r="CU8" s="93">
        <v>17013</v>
      </c>
      <c r="CV8" s="65">
        <v>1059</v>
      </c>
      <c r="CW8" s="65">
        <v>778</v>
      </c>
      <c r="CX8" s="65">
        <v>281</v>
      </c>
      <c r="CY8" s="94">
        <v>1.6794166564941406</v>
      </c>
      <c r="CZ8" s="93">
        <v>17150</v>
      </c>
      <c r="DA8" s="65">
        <v>943</v>
      </c>
      <c r="DB8" s="65">
        <v>806</v>
      </c>
      <c r="DC8" s="65">
        <v>137</v>
      </c>
      <c r="DD8" s="94">
        <v>0.80526655912399292</v>
      </c>
      <c r="DE8" s="93">
        <v>17196</v>
      </c>
      <c r="DF8" s="65">
        <v>902</v>
      </c>
      <c r="DG8" s="65">
        <v>856</v>
      </c>
      <c r="DH8" s="65">
        <v>46</v>
      </c>
      <c r="DI8" s="94">
        <v>0.26822158694267273</v>
      </c>
      <c r="DJ8" s="93">
        <v>17325</v>
      </c>
      <c r="DK8" s="65">
        <v>936</v>
      </c>
      <c r="DL8" s="65">
        <v>807</v>
      </c>
      <c r="DM8" s="65">
        <v>129</v>
      </c>
      <c r="DN8" s="94">
        <v>0.75017446279525757</v>
      </c>
      <c r="DO8" s="93">
        <v>17353</v>
      </c>
      <c r="DP8" s="65">
        <v>679</v>
      </c>
      <c r="DQ8" s="65">
        <v>651</v>
      </c>
      <c r="DR8" s="65">
        <v>28</v>
      </c>
      <c r="DS8" s="94">
        <v>0.16161616146564484</v>
      </c>
      <c r="DT8" s="93">
        <v>17387</v>
      </c>
      <c r="DU8" s="65">
        <v>1041</v>
      </c>
      <c r="DV8" s="65">
        <v>1007</v>
      </c>
      <c r="DW8" s="65">
        <v>34</v>
      </c>
      <c r="DX8" s="94">
        <v>0.19593153893947601</v>
      </c>
      <c r="DY8" s="93">
        <v>17915</v>
      </c>
      <c r="DZ8" s="65">
        <v>1357</v>
      </c>
      <c r="EA8" s="65">
        <v>829</v>
      </c>
      <c r="EB8" s="65">
        <v>528</v>
      </c>
      <c r="EC8" s="94">
        <v>3.0367515087127686</v>
      </c>
      <c r="ED8" s="93">
        <v>18023</v>
      </c>
      <c r="EE8" s="65">
        <v>1065</v>
      </c>
      <c r="EF8" s="65">
        <v>957</v>
      </c>
      <c r="EG8" s="65">
        <v>108</v>
      </c>
      <c r="EH8" s="94">
        <v>0.60284680128097534</v>
      </c>
      <c r="EI8" s="93">
        <v>18172</v>
      </c>
      <c r="EJ8" s="65">
        <v>996</v>
      </c>
      <c r="EK8" s="65">
        <v>847</v>
      </c>
      <c r="EL8" s="65">
        <v>149</v>
      </c>
      <c r="EM8" s="94">
        <v>0.8267214298248291</v>
      </c>
      <c r="EN8" s="93">
        <v>18396</v>
      </c>
      <c r="EO8" s="65">
        <v>1038</v>
      </c>
      <c r="EP8" s="65">
        <v>814</v>
      </c>
      <c r="EQ8" s="65">
        <v>224</v>
      </c>
      <c r="ER8" s="94">
        <v>1.2326656579971313</v>
      </c>
      <c r="ES8" s="93">
        <v>18624</v>
      </c>
      <c r="ET8" s="65">
        <v>1092</v>
      </c>
      <c r="EU8" s="65">
        <v>864</v>
      </c>
      <c r="EV8" s="65">
        <v>228</v>
      </c>
      <c r="EW8" s="94">
        <v>1.2393999099731445</v>
      </c>
      <c r="EX8" s="93">
        <v>18649</v>
      </c>
      <c r="EY8" s="65">
        <v>978</v>
      </c>
      <c r="EZ8" s="65">
        <v>953</v>
      </c>
      <c r="FA8" s="65">
        <v>25</v>
      </c>
      <c r="FB8" s="94">
        <v>0.13423539698123932</v>
      </c>
      <c r="FC8" s="93">
        <v>18836</v>
      </c>
      <c r="FD8" s="65">
        <v>1138</v>
      </c>
      <c r="FE8" s="65">
        <v>951</v>
      </c>
      <c r="FF8" s="65">
        <v>187</v>
      </c>
      <c r="FG8" s="94">
        <v>1.0027347803115845</v>
      </c>
      <c r="FH8" s="93">
        <v>18895</v>
      </c>
      <c r="FI8" s="65">
        <v>999</v>
      </c>
      <c r="FJ8" s="65">
        <v>940</v>
      </c>
      <c r="FK8" s="65">
        <v>59</v>
      </c>
      <c r="FL8" s="94">
        <v>0.31322997808456421</v>
      </c>
      <c r="FM8" s="93">
        <v>18902</v>
      </c>
      <c r="FN8" s="65">
        <v>931</v>
      </c>
      <c r="FO8" s="65">
        <v>924</v>
      </c>
      <c r="FP8" s="65">
        <v>7</v>
      </c>
      <c r="FQ8" s="94">
        <v>3.704683855175972E-2</v>
      </c>
      <c r="FR8" s="93">
        <v>18941</v>
      </c>
      <c r="FS8" s="65">
        <v>806</v>
      </c>
      <c r="FT8" s="65">
        <v>767</v>
      </c>
      <c r="FU8" s="65">
        <v>39</v>
      </c>
      <c r="FV8" s="94">
        <v>0.20632737874984741</v>
      </c>
      <c r="FW8" s="93">
        <v>18803</v>
      </c>
      <c r="FX8" s="65">
        <v>602</v>
      </c>
      <c r="FY8" s="65">
        <v>740</v>
      </c>
      <c r="FZ8" s="65">
        <v>-138</v>
      </c>
      <c r="GA8" s="94">
        <v>-0.72857820987701416</v>
      </c>
      <c r="GB8" s="93">
        <v>18208</v>
      </c>
      <c r="GC8" s="65">
        <v>840</v>
      </c>
      <c r="GD8" s="65">
        <v>1435</v>
      </c>
      <c r="GE8" s="65">
        <v>-595</v>
      </c>
      <c r="GF8" s="94">
        <v>-3.1643886566162109</v>
      </c>
      <c r="GG8" s="93">
        <v>18834</v>
      </c>
      <c r="GH8" s="65">
        <v>1539</v>
      </c>
      <c r="GI8" s="65">
        <v>913</v>
      </c>
      <c r="GJ8" s="65">
        <v>626</v>
      </c>
      <c r="GK8" s="94">
        <v>3.43804931640625</v>
      </c>
      <c r="GL8" s="93">
        <v>18961</v>
      </c>
      <c r="GM8" s="65">
        <v>1103</v>
      </c>
      <c r="GN8" s="65">
        <v>976</v>
      </c>
      <c r="GO8" s="65">
        <v>127</v>
      </c>
      <c r="GP8" s="94">
        <v>0.67431241273880005</v>
      </c>
      <c r="GQ8" s="93">
        <v>19012</v>
      </c>
      <c r="GR8" s="65">
        <v>910</v>
      </c>
      <c r="GS8" s="65">
        <v>859</v>
      </c>
      <c r="GT8" s="65">
        <v>51</v>
      </c>
      <c r="GU8" s="94">
        <v>0.26897314190864563</v>
      </c>
      <c r="GV8" s="93">
        <v>19067</v>
      </c>
      <c r="GW8" s="65">
        <v>987</v>
      </c>
      <c r="GX8" s="65">
        <v>932</v>
      </c>
      <c r="GY8" s="65">
        <v>55</v>
      </c>
      <c r="GZ8" s="94">
        <v>0.28929096460342407</v>
      </c>
      <c r="HA8" s="93">
        <v>19117</v>
      </c>
      <c r="HB8" s="65">
        <v>978</v>
      </c>
      <c r="HC8" s="65">
        <v>928</v>
      </c>
      <c r="HD8" s="65">
        <v>50</v>
      </c>
      <c r="HE8" s="94">
        <v>0.26223316788673401</v>
      </c>
      <c r="HF8" s="93">
        <v>19250</v>
      </c>
      <c r="HG8" s="65">
        <v>981</v>
      </c>
      <c r="HH8" s="65">
        <v>848</v>
      </c>
      <c r="HI8" s="65">
        <v>133</v>
      </c>
      <c r="HJ8" s="94">
        <v>0.69571584463119507</v>
      </c>
      <c r="HK8" s="93">
        <v>19324</v>
      </c>
      <c r="HL8" s="65">
        <v>975</v>
      </c>
      <c r="HM8" s="65">
        <v>901</v>
      </c>
      <c r="HN8" s="65">
        <v>74</v>
      </c>
      <c r="HO8" s="94">
        <v>0.38441559672355652</v>
      </c>
      <c r="HP8" s="93">
        <v>19419</v>
      </c>
      <c r="HQ8" s="65">
        <v>932</v>
      </c>
      <c r="HR8" s="65">
        <v>837</v>
      </c>
      <c r="HS8" s="65">
        <v>95</v>
      </c>
      <c r="HT8" s="94">
        <v>0.4916166365146637</v>
      </c>
      <c r="HU8" s="93">
        <v>19346</v>
      </c>
      <c r="HV8" s="65">
        <v>858</v>
      </c>
      <c r="HW8" s="65">
        <v>931</v>
      </c>
      <c r="HX8" s="65">
        <v>-73</v>
      </c>
      <c r="HY8" s="94">
        <v>-0.37592050433158875</v>
      </c>
      <c r="HZ8" s="93">
        <v>19524</v>
      </c>
      <c r="IA8" s="65">
        <v>999</v>
      </c>
      <c r="IB8" s="65">
        <v>821</v>
      </c>
      <c r="IC8" s="65">
        <v>178</v>
      </c>
      <c r="ID8" s="94">
        <v>0.92008686065673828</v>
      </c>
      <c r="IE8" s="93">
        <v>19421</v>
      </c>
      <c r="IF8" s="65">
        <v>589</v>
      </c>
      <c r="IG8" s="65">
        <v>692</v>
      </c>
      <c r="IH8" s="65">
        <v>-103</v>
      </c>
      <c r="II8" s="94">
        <v>-0.52755582332611084</v>
      </c>
      <c r="IJ8" s="93">
        <v>18812</v>
      </c>
      <c r="IK8" s="65">
        <v>936</v>
      </c>
      <c r="IL8" s="65">
        <v>1545</v>
      </c>
      <c r="IM8" s="65">
        <v>-609</v>
      </c>
      <c r="IN8" s="94">
        <v>-3.1357808113098145</v>
      </c>
      <c r="IO8" s="93">
        <v>19517</v>
      </c>
      <c r="IP8" s="65">
        <v>1682</v>
      </c>
      <c r="IQ8" s="65">
        <v>977</v>
      </c>
      <c r="IR8" s="65">
        <v>705</v>
      </c>
      <c r="IS8" s="94">
        <v>3.747607946395874</v>
      </c>
      <c r="IT8" s="93">
        <v>19619</v>
      </c>
      <c r="IU8" s="65">
        <v>1042</v>
      </c>
      <c r="IV8" s="65">
        <v>940</v>
      </c>
      <c r="IW8" s="65">
        <v>102</v>
      </c>
      <c r="IX8" s="94">
        <v>0.52262133359909058</v>
      </c>
      <c r="IY8" s="93">
        <v>19579</v>
      </c>
      <c r="IZ8" s="65">
        <v>913</v>
      </c>
      <c r="JA8" s="65">
        <v>953</v>
      </c>
      <c r="JB8" s="65">
        <v>-40</v>
      </c>
      <c r="JC8" s="94">
        <v>-0.20388399064540863</v>
      </c>
      <c r="JD8" s="93">
        <v>19642</v>
      </c>
      <c r="JE8" s="65">
        <v>1022</v>
      </c>
      <c r="JF8" s="65">
        <v>959</v>
      </c>
      <c r="JG8" s="65">
        <v>63</v>
      </c>
      <c r="JH8" s="94">
        <v>0.32177332043647766</v>
      </c>
      <c r="JI8" s="93">
        <v>19632</v>
      </c>
      <c r="JJ8" s="65">
        <v>961</v>
      </c>
      <c r="JK8" s="65">
        <v>971</v>
      </c>
      <c r="JL8" s="65">
        <v>-10</v>
      </c>
      <c r="JM8" s="94">
        <v>-5.0911311060190201E-2</v>
      </c>
      <c r="JN8" s="93">
        <v>19709</v>
      </c>
      <c r="JO8" s="65">
        <v>1080</v>
      </c>
      <c r="JP8" s="65">
        <v>1003</v>
      </c>
      <c r="JQ8" s="65">
        <v>77</v>
      </c>
      <c r="JR8" s="94">
        <v>0.39221680164337158</v>
      </c>
      <c r="JS8" s="93">
        <v>19795</v>
      </c>
      <c r="JT8" s="65">
        <v>1080</v>
      </c>
      <c r="JU8" s="65">
        <v>994</v>
      </c>
      <c r="JV8" s="65">
        <v>86</v>
      </c>
      <c r="JW8" s="94">
        <v>0.43634888529777527</v>
      </c>
      <c r="JX8" s="93">
        <v>19853</v>
      </c>
      <c r="JY8" s="65">
        <v>991</v>
      </c>
      <c r="JZ8" s="65">
        <v>933</v>
      </c>
      <c r="KA8" s="65">
        <v>58</v>
      </c>
      <c r="KB8" s="94">
        <v>0.29300329089164734</v>
      </c>
      <c r="KC8" s="93">
        <v>19916</v>
      </c>
      <c r="KD8" s="65">
        <v>1014</v>
      </c>
      <c r="KE8" s="65">
        <v>951</v>
      </c>
      <c r="KF8" s="65">
        <v>63</v>
      </c>
      <c r="KG8" s="94">
        <v>0.31733238697052002</v>
      </c>
      <c r="KH8" s="93">
        <v>19868</v>
      </c>
      <c r="KI8" s="65">
        <v>823</v>
      </c>
      <c r="KJ8" s="65">
        <v>871</v>
      </c>
      <c r="KK8" s="65">
        <v>-48</v>
      </c>
      <c r="KL8" s="94">
        <v>-0.24101224541664124</v>
      </c>
      <c r="KM8" s="93">
        <v>19769</v>
      </c>
      <c r="KN8" s="65">
        <v>654</v>
      </c>
      <c r="KO8" s="65">
        <v>753</v>
      </c>
      <c r="KP8" s="65">
        <v>-99</v>
      </c>
      <c r="KQ8" s="94">
        <v>-0.49828869104385376</v>
      </c>
      <c r="KR8" s="93">
        <v>19106</v>
      </c>
      <c r="KS8" s="65">
        <v>1063</v>
      </c>
      <c r="KT8" s="65">
        <v>1726</v>
      </c>
      <c r="KU8" s="65">
        <v>-663</v>
      </c>
      <c r="KV8" s="94">
        <v>-3.3537356853485107</v>
      </c>
      <c r="KW8" s="93">
        <v>19959</v>
      </c>
      <c r="KX8" s="65">
        <v>1903</v>
      </c>
      <c r="KY8" s="65">
        <v>1050</v>
      </c>
      <c r="KZ8" s="65">
        <v>853</v>
      </c>
      <c r="LA8" s="94">
        <v>4.4645662307739258</v>
      </c>
      <c r="LB8" s="93">
        <v>19965</v>
      </c>
      <c r="LC8" s="65">
        <v>1035</v>
      </c>
      <c r="LD8" s="65">
        <v>1029</v>
      </c>
      <c r="LE8" s="65">
        <v>6</v>
      </c>
      <c r="LF8" s="94">
        <v>3.0061626806855202E-2</v>
      </c>
      <c r="LG8" s="93">
        <v>19995</v>
      </c>
      <c r="LH8" s="65">
        <v>1070</v>
      </c>
      <c r="LI8" s="65">
        <v>1040</v>
      </c>
      <c r="LJ8" s="65">
        <v>30</v>
      </c>
      <c r="LK8" s="94">
        <v>0.15026296675205231</v>
      </c>
      <c r="LL8" s="93">
        <v>20042</v>
      </c>
      <c r="LM8" s="65">
        <v>1063</v>
      </c>
      <c r="LN8" s="65">
        <v>1016</v>
      </c>
      <c r="LO8" s="65">
        <v>47</v>
      </c>
      <c r="LP8" s="94">
        <v>0.23505876958370209</v>
      </c>
      <c r="LQ8" s="93">
        <v>20022</v>
      </c>
      <c r="LR8" s="65">
        <v>955</v>
      </c>
      <c r="LS8" s="65">
        <v>975</v>
      </c>
      <c r="LT8" s="65">
        <v>-20</v>
      </c>
      <c r="LU8" s="94">
        <v>-9.9790439009666443E-2</v>
      </c>
      <c r="LV8" s="93">
        <v>20104</v>
      </c>
      <c r="LW8" s="65">
        <v>1137</v>
      </c>
      <c r="LX8" s="65">
        <v>1055</v>
      </c>
      <c r="LY8" s="65">
        <v>82</v>
      </c>
      <c r="LZ8" s="94">
        <v>0.40954950451850891</v>
      </c>
      <c r="MA8" s="93">
        <v>20205</v>
      </c>
      <c r="MB8" s="65">
        <v>1059</v>
      </c>
      <c r="MC8" s="65">
        <v>958</v>
      </c>
      <c r="MD8" s="65">
        <v>101</v>
      </c>
      <c r="ME8" s="94">
        <v>0.50238758325576782</v>
      </c>
      <c r="MF8" s="93">
        <v>20273</v>
      </c>
      <c r="MG8" s="65">
        <v>1069</v>
      </c>
      <c r="MH8" s="65">
        <v>1001</v>
      </c>
      <c r="MI8" s="65">
        <v>68</v>
      </c>
      <c r="MJ8" s="94">
        <v>0.33655035495758057</v>
      </c>
      <c r="MK8" s="93">
        <v>20287</v>
      </c>
      <c r="ML8" s="65">
        <v>1033</v>
      </c>
      <c r="MM8" s="65">
        <v>1019</v>
      </c>
      <c r="MN8" s="65">
        <v>14</v>
      </c>
      <c r="MO8" s="94">
        <v>6.9057367742061615E-2</v>
      </c>
      <c r="MP8" s="93">
        <v>20205</v>
      </c>
      <c r="MQ8" s="65">
        <v>834</v>
      </c>
      <c r="MR8" s="65">
        <v>916</v>
      </c>
      <c r="MS8" s="65">
        <v>-82</v>
      </c>
      <c r="MT8" s="94">
        <v>-0.40419971942901611</v>
      </c>
      <c r="MU8" s="93">
        <v>19916</v>
      </c>
      <c r="MV8" s="65">
        <v>617</v>
      </c>
      <c r="MW8" s="65">
        <v>906</v>
      </c>
      <c r="MX8" s="65">
        <v>-289</v>
      </c>
      <c r="MY8" s="94">
        <v>-1.430338978767395</v>
      </c>
      <c r="MZ8" s="93">
        <v>19223</v>
      </c>
      <c r="NA8" s="65">
        <v>968</v>
      </c>
      <c r="NB8" s="65">
        <v>1661</v>
      </c>
      <c r="NC8" s="65">
        <v>-693</v>
      </c>
      <c r="ND8" s="94">
        <v>-3.4796144962310791</v>
      </c>
      <c r="NE8" s="93">
        <v>20001</v>
      </c>
      <c r="NF8" s="93">
        <v>1872</v>
      </c>
      <c r="NG8" s="93">
        <v>1094</v>
      </c>
      <c r="NH8" s="93">
        <v>778</v>
      </c>
      <c r="NI8" s="94">
        <v>4.0472350120544434</v>
      </c>
      <c r="NJ8" s="93">
        <v>20060</v>
      </c>
      <c r="NK8" s="93">
        <v>1151</v>
      </c>
      <c r="NL8" s="93">
        <v>1092</v>
      </c>
      <c r="NM8" s="93">
        <v>59</v>
      </c>
      <c r="NN8" s="94">
        <v>0.29498526453971863</v>
      </c>
      <c r="NO8" s="93">
        <f t="shared" ref="NO8:NO10" si="2">SUM(NA8,NF8,NK8)</f>
        <v>3991</v>
      </c>
      <c r="NP8" s="93">
        <f t="shared" ref="NP8:NP10" si="3">SUM(NB8,NG8,NL8)</f>
        <v>3847</v>
      </c>
      <c r="NQ8" s="93">
        <f t="shared" ref="NQ8:NQ10" si="4">SUM(NC8,NH8,NM8)</f>
        <v>144</v>
      </c>
      <c r="NR8" s="94">
        <f t="shared" ref="NR8:NR10" si="5">(NQ8/MU8)*100</f>
        <v>0.72303675436834702</v>
      </c>
      <c r="NS8" s="59">
        <f t="shared" ref="NS8:NS10" si="6">SUM(NF8,NA8,MV8,MQ8,ML8,MG8,MB8,LW8,LR8,LM8,LH8,NK8)</f>
        <v>12828</v>
      </c>
      <c r="NT8" s="59">
        <f t="shared" ref="NT8:NT10" si="7">SUM(NG8,NB8,MW8,MR8,MM8,MH8,MC8,LX8,LS8,LN8,LI8,NL8)</f>
        <v>12733</v>
      </c>
      <c r="NU8" s="59">
        <f t="shared" ref="NU8:NU10" si="8">SUM(NH8,NC8,MX8,MS8,MN8,MI8,MD8,LY8,LT8,LO8,LJ8,NM8)</f>
        <v>95</v>
      </c>
      <c r="NV8" s="94">
        <f t="shared" ref="NV8:NV10" si="9">NU8/(NJ8-NU8)*100</f>
        <v>0.47583270723766591</v>
      </c>
      <c r="NW8" s="12"/>
    </row>
    <row r="9" spans="1:387" s="5" customFormat="1" ht="18" customHeight="1">
      <c r="A9" s="12"/>
      <c r="B9" s="62" t="s">
        <v>45</v>
      </c>
      <c r="C9" s="63">
        <v>110003</v>
      </c>
      <c r="D9" s="64" t="s">
        <v>48</v>
      </c>
      <c r="E9" s="93">
        <v>480</v>
      </c>
      <c r="F9" s="63">
        <v>45</v>
      </c>
      <c r="G9" s="63">
        <v>8</v>
      </c>
      <c r="H9" s="63">
        <v>37</v>
      </c>
      <c r="I9" s="93">
        <v>482</v>
      </c>
      <c r="J9" s="63">
        <v>18</v>
      </c>
      <c r="K9" s="63">
        <v>16</v>
      </c>
      <c r="L9" s="63">
        <v>2</v>
      </c>
      <c r="M9" s="94">
        <v>0.4166666567325592</v>
      </c>
      <c r="N9" s="93">
        <v>465</v>
      </c>
      <c r="O9" s="65">
        <v>9</v>
      </c>
      <c r="P9" s="65">
        <v>26</v>
      </c>
      <c r="Q9" s="65">
        <v>-17</v>
      </c>
      <c r="R9" s="94">
        <v>-3.5269708633422852</v>
      </c>
      <c r="S9" s="93">
        <v>448</v>
      </c>
      <c r="T9" s="65">
        <v>4</v>
      </c>
      <c r="U9" s="65">
        <v>21</v>
      </c>
      <c r="V9" s="65">
        <v>-17</v>
      </c>
      <c r="W9" s="94">
        <v>-3.6559140682220459</v>
      </c>
      <c r="X9" s="93">
        <v>441</v>
      </c>
      <c r="Y9" s="65">
        <v>5</v>
      </c>
      <c r="Z9" s="65">
        <v>12</v>
      </c>
      <c r="AA9" s="65">
        <v>-7</v>
      </c>
      <c r="AB9" s="94">
        <v>-1.5625</v>
      </c>
      <c r="AC9" s="93">
        <v>451</v>
      </c>
      <c r="AD9" s="65">
        <v>17</v>
      </c>
      <c r="AE9" s="65">
        <v>7</v>
      </c>
      <c r="AF9" s="65">
        <v>10</v>
      </c>
      <c r="AG9" s="94">
        <v>2.2675735950469971</v>
      </c>
      <c r="AH9" s="93">
        <v>449</v>
      </c>
      <c r="AI9" s="65">
        <v>13</v>
      </c>
      <c r="AJ9" s="65">
        <v>15</v>
      </c>
      <c r="AK9" s="65">
        <v>-2</v>
      </c>
      <c r="AL9" s="94">
        <v>-0.44345897436141968</v>
      </c>
      <c r="AM9" s="93">
        <v>454</v>
      </c>
      <c r="AN9" s="65">
        <v>12</v>
      </c>
      <c r="AO9" s="65">
        <v>7</v>
      </c>
      <c r="AP9" s="65">
        <v>5</v>
      </c>
      <c r="AQ9" s="94">
        <v>1.1135857105255127</v>
      </c>
      <c r="AR9" s="93">
        <v>457</v>
      </c>
      <c r="AS9" s="65">
        <v>20</v>
      </c>
      <c r="AT9" s="65">
        <v>17</v>
      </c>
      <c r="AU9" s="65">
        <v>3</v>
      </c>
      <c r="AV9" s="94">
        <v>0.66079294681549072</v>
      </c>
      <c r="AW9" s="93">
        <v>467</v>
      </c>
      <c r="AX9" s="65">
        <v>25</v>
      </c>
      <c r="AY9" s="65">
        <v>15</v>
      </c>
      <c r="AZ9" s="65">
        <v>10</v>
      </c>
      <c r="BA9" s="94">
        <v>2.1881837844848633</v>
      </c>
      <c r="BB9" s="93">
        <v>485</v>
      </c>
      <c r="BC9" s="65">
        <v>25</v>
      </c>
      <c r="BD9" s="65">
        <v>7</v>
      </c>
      <c r="BE9" s="65">
        <v>18</v>
      </c>
      <c r="BF9" s="94">
        <v>3.8543896675109863</v>
      </c>
      <c r="BG9" s="93">
        <v>452</v>
      </c>
      <c r="BH9" s="65">
        <v>8</v>
      </c>
      <c r="BI9" s="65">
        <v>41</v>
      </c>
      <c r="BJ9" s="65">
        <v>-33</v>
      </c>
      <c r="BK9" s="94">
        <v>-6.8041238784790039</v>
      </c>
      <c r="BL9" s="93">
        <v>467</v>
      </c>
      <c r="BM9" s="65">
        <v>26</v>
      </c>
      <c r="BN9" s="65">
        <v>11</v>
      </c>
      <c r="BO9" s="65">
        <v>15</v>
      </c>
      <c r="BP9" s="94">
        <v>3.3185839653015137</v>
      </c>
      <c r="BQ9" s="93">
        <v>469</v>
      </c>
      <c r="BR9" s="65">
        <v>18</v>
      </c>
      <c r="BS9" s="65">
        <v>16</v>
      </c>
      <c r="BT9" s="65">
        <v>2</v>
      </c>
      <c r="BU9" s="94">
        <v>0.42826551198959351</v>
      </c>
      <c r="BV9" s="93">
        <v>455</v>
      </c>
      <c r="BW9" s="65">
        <v>5</v>
      </c>
      <c r="BX9" s="65">
        <v>19</v>
      </c>
      <c r="BY9" s="65">
        <v>-14</v>
      </c>
      <c r="BZ9" s="94">
        <v>-2.985074520111084</v>
      </c>
      <c r="CA9" s="93">
        <v>455</v>
      </c>
      <c r="CB9" s="65">
        <v>18</v>
      </c>
      <c r="CC9" s="65">
        <v>18</v>
      </c>
      <c r="CD9" s="65">
        <v>0</v>
      </c>
      <c r="CE9" s="94">
        <v>0</v>
      </c>
      <c r="CF9" s="93">
        <v>470</v>
      </c>
      <c r="CG9" s="65">
        <v>27</v>
      </c>
      <c r="CH9" s="65">
        <v>12</v>
      </c>
      <c r="CI9" s="65">
        <v>15</v>
      </c>
      <c r="CJ9" s="94">
        <v>3.2967033386230469</v>
      </c>
      <c r="CK9" s="93">
        <v>480</v>
      </c>
      <c r="CL9" s="65">
        <v>24</v>
      </c>
      <c r="CM9" s="65">
        <v>14</v>
      </c>
      <c r="CN9" s="65">
        <v>10</v>
      </c>
      <c r="CO9" s="94">
        <v>2.1276595592498779</v>
      </c>
      <c r="CP9" s="93">
        <v>482</v>
      </c>
      <c r="CQ9" s="65">
        <v>15</v>
      </c>
      <c r="CR9" s="65">
        <v>13</v>
      </c>
      <c r="CS9" s="65">
        <v>2</v>
      </c>
      <c r="CT9" s="94">
        <v>0.4166666567325592</v>
      </c>
      <c r="CU9" s="93">
        <v>487</v>
      </c>
      <c r="CV9" s="65">
        <v>24</v>
      </c>
      <c r="CW9" s="65">
        <v>19</v>
      </c>
      <c r="CX9" s="65">
        <v>5</v>
      </c>
      <c r="CY9" s="94">
        <v>1.0373444557189941</v>
      </c>
      <c r="CZ9" s="93">
        <v>483</v>
      </c>
      <c r="DA9" s="65">
        <v>8</v>
      </c>
      <c r="DB9" s="65">
        <v>12</v>
      </c>
      <c r="DC9" s="65">
        <v>-4</v>
      </c>
      <c r="DD9" s="94">
        <v>-0.82135522365570068</v>
      </c>
      <c r="DE9" s="93">
        <v>483</v>
      </c>
      <c r="DF9" s="65">
        <v>14</v>
      </c>
      <c r="DG9" s="65">
        <v>14</v>
      </c>
      <c r="DH9" s="65">
        <v>0</v>
      </c>
      <c r="DI9" s="94">
        <v>0</v>
      </c>
      <c r="DJ9" s="93">
        <v>487</v>
      </c>
      <c r="DK9" s="65">
        <v>14</v>
      </c>
      <c r="DL9" s="65">
        <v>10</v>
      </c>
      <c r="DM9" s="65">
        <v>4</v>
      </c>
      <c r="DN9" s="94">
        <v>0.82815736532211304</v>
      </c>
      <c r="DO9" s="93">
        <v>483</v>
      </c>
      <c r="DP9" s="65">
        <v>7</v>
      </c>
      <c r="DQ9" s="65">
        <v>11</v>
      </c>
      <c r="DR9" s="65">
        <v>-4</v>
      </c>
      <c r="DS9" s="94">
        <v>-0.82135522365570068</v>
      </c>
      <c r="DT9" s="93">
        <v>490</v>
      </c>
      <c r="DU9" s="65">
        <v>19</v>
      </c>
      <c r="DV9" s="65">
        <v>12</v>
      </c>
      <c r="DW9" s="65">
        <v>7</v>
      </c>
      <c r="DX9" s="94">
        <v>1.4492753744125366</v>
      </c>
      <c r="DY9" s="93">
        <v>516</v>
      </c>
      <c r="DZ9" s="65">
        <v>39</v>
      </c>
      <c r="EA9" s="65">
        <v>13</v>
      </c>
      <c r="EB9" s="65">
        <v>26</v>
      </c>
      <c r="EC9" s="94">
        <v>5.3061223030090332</v>
      </c>
      <c r="ED9" s="93">
        <v>517</v>
      </c>
      <c r="EE9" s="65">
        <v>20</v>
      </c>
      <c r="EF9" s="65">
        <v>19</v>
      </c>
      <c r="EG9" s="65">
        <v>1</v>
      </c>
      <c r="EH9" s="94">
        <v>0.19379845261573792</v>
      </c>
      <c r="EI9" s="93">
        <v>515</v>
      </c>
      <c r="EJ9" s="65">
        <v>20</v>
      </c>
      <c r="EK9" s="65">
        <v>22</v>
      </c>
      <c r="EL9" s="65">
        <v>-2</v>
      </c>
      <c r="EM9" s="94">
        <v>-0.38684719800949097</v>
      </c>
      <c r="EN9" s="93">
        <v>523</v>
      </c>
      <c r="EO9" s="65">
        <v>24</v>
      </c>
      <c r="EP9" s="65">
        <v>16</v>
      </c>
      <c r="EQ9" s="65">
        <v>8</v>
      </c>
      <c r="ER9" s="94">
        <v>1.5533980131149292</v>
      </c>
      <c r="ES9" s="93">
        <v>533</v>
      </c>
      <c r="ET9" s="65">
        <v>20</v>
      </c>
      <c r="EU9" s="65">
        <v>10</v>
      </c>
      <c r="EV9" s="65">
        <v>10</v>
      </c>
      <c r="EW9" s="94">
        <v>1.9120458364486694</v>
      </c>
      <c r="EX9" s="93">
        <v>533</v>
      </c>
      <c r="EY9" s="65">
        <v>22</v>
      </c>
      <c r="EZ9" s="65">
        <v>22</v>
      </c>
      <c r="FA9" s="65">
        <v>0</v>
      </c>
      <c r="FB9" s="94">
        <v>0</v>
      </c>
      <c r="FC9" s="93">
        <v>539</v>
      </c>
      <c r="FD9" s="65">
        <v>26</v>
      </c>
      <c r="FE9" s="65">
        <v>20</v>
      </c>
      <c r="FF9" s="65">
        <v>6</v>
      </c>
      <c r="FG9" s="94">
        <v>1.1257035732269287</v>
      </c>
      <c r="FH9" s="93">
        <v>551</v>
      </c>
      <c r="FI9" s="65">
        <v>19</v>
      </c>
      <c r="FJ9" s="65">
        <v>7</v>
      </c>
      <c r="FK9" s="65">
        <v>12</v>
      </c>
      <c r="FL9" s="94">
        <v>2.2263450622558594</v>
      </c>
      <c r="FM9" s="93">
        <v>561</v>
      </c>
      <c r="FN9" s="65">
        <v>16</v>
      </c>
      <c r="FO9" s="65">
        <v>6</v>
      </c>
      <c r="FP9" s="65">
        <v>10</v>
      </c>
      <c r="FQ9" s="94">
        <v>1.8148820400238037</v>
      </c>
      <c r="FR9" s="93">
        <v>573</v>
      </c>
      <c r="FS9" s="65">
        <v>21</v>
      </c>
      <c r="FT9" s="65">
        <v>9</v>
      </c>
      <c r="FU9" s="65">
        <v>12</v>
      </c>
      <c r="FV9" s="94">
        <v>2.1390373706817627</v>
      </c>
      <c r="FW9" s="93">
        <v>575</v>
      </c>
      <c r="FX9" s="65">
        <v>11</v>
      </c>
      <c r="FY9" s="65">
        <v>9</v>
      </c>
      <c r="FZ9" s="65">
        <v>2</v>
      </c>
      <c r="GA9" s="94">
        <v>0.34904015064239502</v>
      </c>
      <c r="GB9" s="93">
        <v>568</v>
      </c>
      <c r="GC9" s="65">
        <v>12</v>
      </c>
      <c r="GD9" s="65">
        <v>19</v>
      </c>
      <c r="GE9" s="65">
        <v>-7</v>
      </c>
      <c r="GF9" s="94">
        <v>-1.2173912525177002</v>
      </c>
      <c r="GG9" s="93">
        <v>580</v>
      </c>
      <c r="GH9" s="65">
        <v>36</v>
      </c>
      <c r="GI9" s="65">
        <v>24</v>
      </c>
      <c r="GJ9" s="65">
        <v>12</v>
      </c>
      <c r="GK9" s="94">
        <v>2.1126761436462402</v>
      </c>
      <c r="GL9" s="93">
        <v>572</v>
      </c>
      <c r="GM9" s="65">
        <v>21</v>
      </c>
      <c r="GN9" s="65">
        <v>29</v>
      </c>
      <c r="GO9" s="65">
        <v>-8</v>
      </c>
      <c r="GP9" s="94">
        <v>-1.3793103694915771</v>
      </c>
      <c r="GQ9" s="93">
        <v>570</v>
      </c>
      <c r="GR9" s="65">
        <v>13</v>
      </c>
      <c r="GS9" s="65">
        <v>15</v>
      </c>
      <c r="GT9" s="65">
        <v>-2</v>
      </c>
      <c r="GU9" s="94">
        <v>-0.34965035319328308</v>
      </c>
      <c r="GV9" s="93">
        <v>573</v>
      </c>
      <c r="GW9" s="65">
        <v>23</v>
      </c>
      <c r="GX9" s="65">
        <v>20</v>
      </c>
      <c r="GY9" s="65">
        <v>3</v>
      </c>
      <c r="GZ9" s="94">
        <v>0.52631580829620361</v>
      </c>
      <c r="HA9" s="93">
        <v>574</v>
      </c>
      <c r="HB9" s="65">
        <v>13</v>
      </c>
      <c r="HC9" s="65">
        <v>12</v>
      </c>
      <c r="HD9" s="65">
        <v>1</v>
      </c>
      <c r="HE9" s="94">
        <v>0.17452007532119751</v>
      </c>
      <c r="HF9" s="93">
        <v>566</v>
      </c>
      <c r="HG9" s="65">
        <v>6</v>
      </c>
      <c r="HH9" s="65">
        <v>14</v>
      </c>
      <c r="HI9" s="65">
        <v>-8</v>
      </c>
      <c r="HJ9" s="94">
        <v>-1.3937282562255859</v>
      </c>
      <c r="HK9" s="93">
        <v>568</v>
      </c>
      <c r="HL9" s="65">
        <v>16</v>
      </c>
      <c r="HM9" s="65">
        <v>14</v>
      </c>
      <c r="HN9" s="65">
        <v>2</v>
      </c>
      <c r="HO9" s="94">
        <v>0.35335689783096313</v>
      </c>
      <c r="HP9" s="93">
        <v>566</v>
      </c>
      <c r="HQ9" s="65">
        <v>15</v>
      </c>
      <c r="HR9" s="65">
        <v>17</v>
      </c>
      <c r="HS9" s="65">
        <v>-2</v>
      </c>
      <c r="HT9" s="94">
        <v>-0.35211268067359924</v>
      </c>
      <c r="HU9" s="93">
        <v>575</v>
      </c>
      <c r="HV9" s="65">
        <v>19</v>
      </c>
      <c r="HW9" s="65">
        <v>10</v>
      </c>
      <c r="HX9" s="65">
        <v>9</v>
      </c>
      <c r="HY9" s="94">
        <v>1.5901060104370117</v>
      </c>
      <c r="HZ9" s="93">
        <v>581</v>
      </c>
      <c r="IA9" s="65">
        <v>16</v>
      </c>
      <c r="IB9" s="65">
        <v>10</v>
      </c>
      <c r="IC9" s="65">
        <v>6</v>
      </c>
      <c r="ID9" s="94">
        <v>1.04347825050354</v>
      </c>
      <c r="IE9" s="93">
        <v>586</v>
      </c>
      <c r="IF9" s="65">
        <v>11</v>
      </c>
      <c r="IG9" s="65">
        <v>6</v>
      </c>
      <c r="IH9" s="65">
        <v>5</v>
      </c>
      <c r="II9" s="94">
        <v>0.86058521270751953</v>
      </c>
      <c r="IJ9" s="93">
        <v>578</v>
      </c>
      <c r="IK9" s="65">
        <v>14</v>
      </c>
      <c r="IL9" s="65">
        <v>22</v>
      </c>
      <c r="IM9" s="65">
        <v>-8</v>
      </c>
      <c r="IN9" s="94">
        <v>-1.3651877641677856</v>
      </c>
      <c r="IO9" s="93">
        <v>592</v>
      </c>
      <c r="IP9" s="65">
        <v>39</v>
      </c>
      <c r="IQ9" s="65">
        <v>25</v>
      </c>
      <c r="IR9" s="65">
        <v>14</v>
      </c>
      <c r="IS9" s="94">
        <v>2.4221453666687012</v>
      </c>
      <c r="IT9" s="93">
        <v>586</v>
      </c>
      <c r="IU9" s="65">
        <v>20</v>
      </c>
      <c r="IV9" s="65">
        <v>26</v>
      </c>
      <c r="IW9" s="65">
        <v>-6</v>
      </c>
      <c r="IX9" s="94">
        <v>-1.0135135650634766</v>
      </c>
      <c r="IY9" s="93">
        <v>579</v>
      </c>
      <c r="IZ9" s="65">
        <v>22</v>
      </c>
      <c r="JA9" s="65">
        <v>29</v>
      </c>
      <c r="JB9" s="65">
        <v>-7</v>
      </c>
      <c r="JC9" s="94">
        <v>-1.1945393085479736</v>
      </c>
      <c r="JD9" s="93">
        <v>575</v>
      </c>
      <c r="JE9" s="65">
        <v>12</v>
      </c>
      <c r="JF9" s="65">
        <v>16</v>
      </c>
      <c r="JG9" s="65">
        <v>-4</v>
      </c>
      <c r="JH9" s="94">
        <v>-0.69084626436233521</v>
      </c>
      <c r="JI9" s="93">
        <v>579</v>
      </c>
      <c r="JJ9" s="65">
        <v>19</v>
      </c>
      <c r="JK9" s="65">
        <v>15</v>
      </c>
      <c r="JL9" s="65">
        <v>4</v>
      </c>
      <c r="JM9" s="94">
        <v>0.69565218687057495</v>
      </c>
      <c r="JN9" s="93">
        <v>582</v>
      </c>
      <c r="JO9" s="65">
        <v>22</v>
      </c>
      <c r="JP9" s="65">
        <v>19</v>
      </c>
      <c r="JQ9" s="65">
        <v>3</v>
      </c>
      <c r="JR9" s="94">
        <v>0.5181347131729126</v>
      </c>
      <c r="JS9" s="93">
        <v>585</v>
      </c>
      <c r="JT9" s="65">
        <v>19</v>
      </c>
      <c r="JU9" s="65">
        <v>16</v>
      </c>
      <c r="JV9" s="65">
        <v>3</v>
      </c>
      <c r="JW9" s="94">
        <v>0.51546388864517212</v>
      </c>
      <c r="JX9" s="93">
        <v>599</v>
      </c>
      <c r="JY9" s="65">
        <v>24</v>
      </c>
      <c r="JZ9" s="65">
        <v>10</v>
      </c>
      <c r="KA9" s="65">
        <v>14</v>
      </c>
      <c r="KB9" s="94">
        <v>2.3931624889373779</v>
      </c>
      <c r="KC9" s="93">
        <v>602</v>
      </c>
      <c r="KD9" s="65">
        <v>18</v>
      </c>
      <c r="KE9" s="65">
        <v>15</v>
      </c>
      <c r="KF9" s="65">
        <v>3</v>
      </c>
      <c r="KG9" s="94">
        <v>0.50083470344543457</v>
      </c>
      <c r="KH9" s="93">
        <v>601</v>
      </c>
      <c r="KI9" s="65">
        <v>16</v>
      </c>
      <c r="KJ9" s="65">
        <v>17</v>
      </c>
      <c r="KK9" s="65">
        <v>-1</v>
      </c>
      <c r="KL9" s="94">
        <v>-0.16611295938491821</v>
      </c>
      <c r="KM9" s="93">
        <v>598</v>
      </c>
      <c r="KN9" s="65">
        <v>9</v>
      </c>
      <c r="KO9" s="65">
        <v>12</v>
      </c>
      <c r="KP9" s="65">
        <v>-3</v>
      </c>
      <c r="KQ9" s="94">
        <v>-0.4991680383682251</v>
      </c>
      <c r="KR9" s="93">
        <v>615</v>
      </c>
      <c r="KS9" s="65">
        <v>40</v>
      </c>
      <c r="KT9" s="65">
        <v>23</v>
      </c>
      <c r="KU9" s="65">
        <v>17</v>
      </c>
      <c r="KV9" s="94">
        <v>2.8428094387054443</v>
      </c>
      <c r="KW9" s="93">
        <v>612</v>
      </c>
      <c r="KX9" s="65">
        <v>17</v>
      </c>
      <c r="KY9" s="65">
        <v>20</v>
      </c>
      <c r="KZ9" s="65">
        <v>-3</v>
      </c>
      <c r="LA9" s="94">
        <v>-0.48780488967895508</v>
      </c>
      <c r="LB9" s="93">
        <v>594</v>
      </c>
      <c r="LC9" s="65">
        <v>10</v>
      </c>
      <c r="LD9" s="65">
        <v>28</v>
      </c>
      <c r="LE9" s="65">
        <v>-18</v>
      </c>
      <c r="LF9" s="94">
        <v>-2.9411764144897461</v>
      </c>
      <c r="LG9" s="93">
        <v>580</v>
      </c>
      <c r="LH9" s="65">
        <v>11</v>
      </c>
      <c r="LI9" s="65">
        <v>25</v>
      </c>
      <c r="LJ9" s="65">
        <v>-14</v>
      </c>
      <c r="LK9" s="94">
        <v>-2.3569023609161377</v>
      </c>
      <c r="LL9" s="93">
        <v>579</v>
      </c>
      <c r="LM9" s="65">
        <v>17</v>
      </c>
      <c r="LN9" s="65">
        <v>18</v>
      </c>
      <c r="LO9" s="65">
        <v>-1</v>
      </c>
      <c r="LP9" s="94">
        <v>-0.17241379618644714</v>
      </c>
      <c r="LQ9" s="93">
        <v>572</v>
      </c>
      <c r="LR9" s="65">
        <v>13</v>
      </c>
      <c r="LS9" s="65">
        <v>20</v>
      </c>
      <c r="LT9" s="65">
        <v>-7</v>
      </c>
      <c r="LU9" s="94">
        <v>-1.2089810371398926</v>
      </c>
      <c r="LV9" s="93">
        <v>569</v>
      </c>
      <c r="LW9" s="65">
        <v>14</v>
      </c>
      <c r="LX9" s="65">
        <v>17</v>
      </c>
      <c r="LY9" s="65">
        <v>-3</v>
      </c>
      <c r="LZ9" s="94">
        <v>-0.52447551488876343</v>
      </c>
      <c r="MA9" s="93">
        <v>570</v>
      </c>
      <c r="MB9" s="65">
        <v>7</v>
      </c>
      <c r="MC9" s="65">
        <v>6</v>
      </c>
      <c r="MD9" s="65">
        <v>1</v>
      </c>
      <c r="ME9" s="94">
        <v>0.17574691772460938</v>
      </c>
      <c r="MF9" s="93">
        <v>577</v>
      </c>
      <c r="MG9" s="65">
        <v>15</v>
      </c>
      <c r="MH9" s="65">
        <v>8</v>
      </c>
      <c r="MI9" s="65">
        <v>7</v>
      </c>
      <c r="MJ9" s="94">
        <v>1.2280701398849487</v>
      </c>
      <c r="MK9" s="93">
        <v>578</v>
      </c>
      <c r="ML9" s="65">
        <v>17</v>
      </c>
      <c r="MM9" s="65">
        <v>16</v>
      </c>
      <c r="MN9" s="65">
        <v>1</v>
      </c>
      <c r="MO9" s="94">
        <v>0.17331022024154663</v>
      </c>
      <c r="MP9" s="93">
        <v>573</v>
      </c>
      <c r="MQ9" s="65">
        <v>10</v>
      </c>
      <c r="MR9" s="65">
        <v>15</v>
      </c>
      <c r="MS9" s="65">
        <v>-5</v>
      </c>
      <c r="MT9" s="94">
        <v>-0.86505192518234253</v>
      </c>
      <c r="MU9" s="93">
        <v>564</v>
      </c>
      <c r="MV9" s="65">
        <v>9</v>
      </c>
      <c r="MW9" s="65">
        <v>18</v>
      </c>
      <c r="MX9" s="65">
        <v>-9</v>
      </c>
      <c r="MY9" s="94">
        <v>-1.5706806182861328</v>
      </c>
      <c r="MZ9" s="93">
        <v>583</v>
      </c>
      <c r="NA9" s="65">
        <v>35</v>
      </c>
      <c r="NB9" s="65">
        <v>16</v>
      </c>
      <c r="NC9" s="65">
        <v>19</v>
      </c>
      <c r="ND9" s="94">
        <v>3.3687944412231445</v>
      </c>
      <c r="NE9" s="93">
        <v>584</v>
      </c>
      <c r="NF9" s="93">
        <v>15</v>
      </c>
      <c r="NG9" s="93">
        <v>14</v>
      </c>
      <c r="NH9" s="93">
        <v>1</v>
      </c>
      <c r="NI9" s="94">
        <v>0.17152658104896545</v>
      </c>
      <c r="NJ9" s="93">
        <v>565</v>
      </c>
      <c r="NK9" s="93">
        <v>10</v>
      </c>
      <c r="NL9" s="93">
        <v>29</v>
      </c>
      <c r="NM9" s="93">
        <v>-19</v>
      </c>
      <c r="NN9" s="94">
        <v>-3.2534246444702148</v>
      </c>
      <c r="NO9" s="93">
        <f t="shared" si="2"/>
        <v>60</v>
      </c>
      <c r="NP9" s="93">
        <f t="shared" si="3"/>
        <v>59</v>
      </c>
      <c r="NQ9" s="93">
        <f t="shared" si="4"/>
        <v>1</v>
      </c>
      <c r="NR9" s="94">
        <f t="shared" si="5"/>
        <v>0.1773049645390071</v>
      </c>
      <c r="NS9" s="59">
        <f t="shared" si="6"/>
        <v>173</v>
      </c>
      <c r="NT9" s="59">
        <f t="shared" si="7"/>
        <v>202</v>
      </c>
      <c r="NU9" s="59">
        <f t="shared" si="8"/>
        <v>-29</v>
      </c>
      <c r="NV9" s="94">
        <f t="shared" si="9"/>
        <v>-4.8821548821548824</v>
      </c>
      <c r="NW9" s="12"/>
    </row>
    <row r="10" spans="1:387" s="5" customFormat="1" ht="18" customHeight="1">
      <c r="A10" s="12"/>
      <c r="B10" s="62" t="s">
        <v>45</v>
      </c>
      <c r="C10" s="63">
        <v>110004</v>
      </c>
      <c r="D10" s="64" t="s">
        <v>49</v>
      </c>
      <c r="E10" s="93">
        <v>16109</v>
      </c>
      <c r="F10" s="63">
        <v>787</v>
      </c>
      <c r="G10" s="63">
        <v>839</v>
      </c>
      <c r="H10" s="63">
        <v>-52</v>
      </c>
      <c r="I10" s="93">
        <v>16301</v>
      </c>
      <c r="J10" s="63">
        <v>942</v>
      </c>
      <c r="K10" s="63">
        <v>750</v>
      </c>
      <c r="L10" s="63">
        <v>192</v>
      </c>
      <c r="M10" s="94">
        <v>1.1918803453445435</v>
      </c>
      <c r="N10" s="93">
        <v>16261</v>
      </c>
      <c r="O10" s="65">
        <v>802</v>
      </c>
      <c r="P10" s="65">
        <v>842</v>
      </c>
      <c r="Q10" s="65">
        <v>-40</v>
      </c>
      <c r="R10" s="94">
        <v>-0.24538372457027435</v>
      </c>
      <c r="S10" s="93">
        <v>15916</v>
      </c>
      <c r="T10" s="65">
        <v>337</v>
      </c>
      <c r="U10" s="65">
        <v>682</v>
      </c>
      <c r="V10" s="65">
        <v>-345</v>
      </c>
      <c r="W10" s="94">
        <v>-2.121640682220459</v>
      </c>
      <c r="X10" s="93">
        <v>15764</v>
      </c>
      <c r="Y10" s="65">
        <v>447</v>
      </c>
      <c r="Z10" s="65">
        <v>599</v>
      </c>
      <c r="AA10" s="65">
        <v>-152</v>
      </c>
      <c r="AB10" s="94">
        <v>-0.95501381158828735</v>
      </c>
      <c r="AC10" s="93">
        <v>15784</v>
      </c>
      <c r="AD10" s="65">
        <v>532</v>
      </c>
      <c r="AE10" s="65">
        <v>512</v>
      </c>
      <c r="AF10" s="65">
        <v>20</v>
      </c>
      <c r="AG10" s="94">
        <v>0.12687134742736816</v>
      </c>
      <c r="AH10" s="93">
        <v>15800</v>
      </c>
      <c r="AI10" s="65">
        <v>674</v>
      </c>
      <c r="AJ10" s="65">
        <v>658</v>
      </c>
      <c r="AK10" s="65">
        <v>16</v>
      </c>
      <c r="AL10" s="94">
        <v>0.10136847198009491</v>
      </c>
      <c r="AM10" s="93">
        <v>15953</v>
      </c>
      <c r="AN10" s="65">
        <v>765</v>
      </c>
      <c r="AO10" s="65">
        <v>612</v>
      </c>
      <c r="AP10" s="65">
        <v>153</v>
      </c>
      <c r="AQ10" s="94">
        <v>0.96835440397262573</v>
      </c>
      <c r="AR10" s="93">
        <v>16010</v>
      </c>
      <c r="AS10" s="65">
        <v>758</v>
      </c>
      <c r="AT10" s="65">
        <v>701</v>
      </c>
      <c r="AU10" s="65">
        <v>57</v>
      </c>
      <c r="AV10" s="94">
        <v>0.3572995662689209</v>
      </c>
      <c r="AW10" s="93">
        <v>16059</v>
      </c>
      <c r="AX10" s="65">
        <v>758</v>
      </c>
      <c r="AY10" s="65">
        <v>709</v>
      </c>
      <c r="AZ10" s="65">
        <v>49</v>
      </c>
      <c r="BA10" s="94">
        <v>0.30605870485305786</v>
      </c>
      <c r="BB10" s="93">
        <v>16116</v>
      </c>
      <c r="BC10" s="65">
        <v>771</v>
      </c>
      <c r="BD10" s="65">
        <v>714</v>
      </c>
      <c r="BE10" s="65">
        <v>57</v>
      </c>
      <c r="BF10" s="94">
        <v>0.35494115948677063</v>
      </c>
      <c r="BG10" s="93">
        <v>16175</v>
      </c>
      <c r="BH10" s="65">
        <v>723</v>
      </c>
      <c r="BI10" s="65">
        <v>664</v>
      </c>
      <c r="BJ10" s="65">
        <v>59</v>
      </c>
      <c r="BK10" s="94">
        <v>0.36609581112861633</v>
      </c>
      <c r="BL10" s="93">
        <v>16065</v>
      </c>
      <c r="BM10" s="65">
        <v>698</v>
      </c>
      <c r="BN10" s="65">
        <v>808</v>
      </c>
      <c r="BO10" s="65">
        <v>-110</v>
      </c>
      <c r="BP10" s="94">
        <v>-0.68006181716918945</v>
      </c>
      <c r="BQ10" s="93">
        <v>16165</v>
      </c>
      <c r="BR10" s="65">
        <v>892</v>
      </c>
      <c r="BS10" s="65">
        <v>792</v>
      </c>
      <c r="BT10" s="65">
        <v>100</v>
      </c>
      <c r="BU10" s="94">
        <v>0.62247121334075928</v>
      </c>
      <c r="BV10" s="93">
        <v>16283</v>
      </c>
      <c r="BW10" s="65">
        <v>889</v>
      </c>
      <c r="BX10" s="65">
        <v>771</v>
      </c>
      <c r="BY10" s="65">
        <v>118</v>
      </c>
      <c r="BZ10" s="94">
        <v>0.72997218370437622</v>
      </c>
      <c r="CA10" s="93">
        <v>16226</v>
      </c>
      <c r="CB10" s="65">
        <v>693</v>
      </c>
      <c r="CC10" s="65">
        <v>750</v>
      </c>
      <c r="CD10" s="65">
        <v>-57</v>
      </c>
      <c r="CE10" s="94">
        <v>-0.35005834698677063</v>
      </c>
      <c r="CF10" s="93">
        <v>16204</v>
      </c>
      <c r="CG10" s="65">
        <v>825</v>
      </c>
      <c r="CH10" s="65">
        <v>847</v>
      </c>
      <c r="CI10" s="65">
        <v>-22</v>
      </c>
      <c r="CJ10" s="94">
        <v>-0.13558486104011536</v>
      </c>
      <c r="CK10" s="93">
        <v>16306</v>
      </c>
      <c r="CL10" s="65">
        <v>897</v>
      </c>
      <c r="CM10" s="65">
        <v>795</v>
      </c>
      <c r="CN10" s="65">
        <v>102</v>
      </c>
      <c r="CO10" s="94">
        <v>0.6294742226600647</v>
      </c>
      <c r="CP10" s="93">
        <v>16447</v>
      </c>
      <c r="CQ10" s="65">
        <v>977</v>
      </c>
      <c r="CR10" s="65">
        <v>836</v>
      </c>
      <c r="CS10" s="65">
        <v>141</v>
      </c>
      <c r="CT10" s="94">
        <v>0.86471235752105713</v>
      </c>
      <c r="CU10" s="93">
        <v>16626</v>
      </c>
      <c r="CV10" s="65">
        <v>1033</v>
      </c>
      <c r="CW10" s="65">
        <v>854</v>
      </c>
      <c r="CX10" s="65">
        <v>179</v>
      </c>
      <c r="CY10" s="94">
        <v>1.0883443355560303</v>
      </c>
      <c r="CZ10" s="93">
        <v>16676</v>
      </c>
      <c r="DA10" s="65">
        <v>996</v>
      </c>
      <c r="DB10" s="65">
        <v>946</v>
      </c>
      <c r="DC10" s="65">
        <v>50</v>
      </c>
      <c r="DD10" s="94">
        <v>0.30073380470275879</v>
      </c>
      <c r="DE10" s="93">
        <v>16678</v>
      </c>
      <c r="DF10" s="65">
        <v>902</v>
      </c>
      <c r="DG10" s="65">
        <v>900</v>
      </c>
      <c r="DH10" s="65">
        <v>2</v>
      </c>
      <c r="DI10" s="94">
        <v>1.1993283405900002E-2</v>
      </c>
      <c r="DJ10" s="93">
        <v>16792</v>
      </c>
      <c r="DK10" s="65">
        <v>894</v>
      </c>
      <c r="DL10" s="65">
        <v>780</v>
      </c>
      <c r="DM10" s="65">
        <v>114</v>
      </c>
      <c r="DN10" s="94">
        <v>0.68353521823883057</v>
      </c>
      <c r="DO10" s="93">
        <v>16747</v>
      </c>
      <c r="DP10" s="65">
        <v>791</v>
      </c>
      <c r="DQ10" s="65">
        <v>836</v>
      </c>
      <c r="DR10" s="65">
        <v>-45</v>
      </c>
      <c r="DS10" s="94">
        <v>-0.26798474788665771</v>
      </c>
      <c r="DT10" s="93">
        <v>16831</v>
      </c>
      <c r="DU10" s="65">
        <v>1024</v>
      </c>
      <c r="DV10" s="65">
        <v>940</v>
      </c>
      <c r="DW10" s="65">
        <v>84</v>
      </c>
      <c r="DX10" s="94">
        <v>0.50158238410949707</v>
      </c>
      <c r="DY10" s="93">
        <v>17057</v>
      </c>
      <c r="DZ10" s="65">
        <v>1077</v>
      </c>
      <c r="EA10" s="65">
        <v>851</v>
      </c>
      <c r="EB10" s="65">
        <v>226</v>
      </c>
      <c r="EC10" s="94">
        <v>1.3427603244781494</v>
      </c>
      <c r="ED10" s="93">
        <v>17189</v>
      </c>
      <c r="EE10" s="65">
        <v>1081</v>
      </c>
      <c r="EF10" s="65">
        <v>949</v>
      </c>
      <c r="EG10" s="65">
        <v>132</v>
      </c>
      <c r="EH10" s="94">
        <v>0.77387583255767822</v>
      </c>
      <c r="EI10" s="93">
        <v>17354</v>
      </c>
      <c r="EJ10" s="65">
        <v>1086</v>
      </c>
      <c r="EK10" s="65">
        <v>921</v>
      </c>
      <c r="EL10" s="65">
        <v>165</v>
      </c>
      <c r="EM10" s="94">
        <v>0.95991623401641846</v>
      </c>
      <c r="EN10" s="93">
        <v>17394</v>
      </c>
      <c r="EO10" s="65">
        <v>1036</v>
      </c>
      <c r="EP10" s="65">
        <v>996</v>
      </c>
      <c r="EQ10" s="65">
        <v>40</v>
      </c>
      <c r="ER10" s="94">
        <v>0.23049440979957581</v>
      </c>
      <c r="ES10" s="93">
        <v>17485</v>
      </c>
      <c r="ET10" s="65">
        <v>1014</v>
      </c>
      <c r="EU10" s="65">
        <v>923</v>
      </c>
      <c r="EV10" s="65">
        <v>91</v>
      </c>
      <c r="EW10" s="94">
        <v>0.52316892147064209</v>
      </c>
      <c r="EX10" s="93">
        <v>17566</v>
      </c>
      <c r="EY10" s="65">
        <v>993</v>
      </c>
      <c r="EZ10" s="65">
        <v>912</v>
      </c>
      <c r="FA10" s="65">
        <v>81</v>
      </c>
      <c r="FB10" s="94">
        <v>0.46325421333312988</v>
      </c>
      <c r="FC10" s="93">
        <v>17694</v>
      </c>
      <c r="FD10" s="65">
        <v>1107</v>
      </c>
      <c r="FE10" s="65">
        <v>979</v>
      </c>
      <c r="FF10" s="65">
        <v>128</v>
      </c>
      <c r="FG10" s="94">
        <v>0.72868043184280396</v>
      </c>
      <c r="FH10" s="93">
        <v>17718</v>
      </c>
      <c r="FI10" s="65">
        <v>966</v>
      </c>
      <c r="FJ10" s="65">
        <v>942</v>
      </c>
      <c r="FK10" s="65">
        <v>24</v>
      </c>
      <c r="FL10" s="94">
        <v>0.13563920557498932</v>
      </c>
      <c r="FM10" s="93">
        <v>17670</v>
      </c>
      <c r="FN10" s="65">
        <v>840</v>
      </c>
      <c r="FO10" s="65">
        <v>888</v>
      </c>
      <c r="FP10" s="65">
        <v>-48</v>
      </c>
      <c r="FQ10" s="94">
        <v>-0.27091094851493835</v>
      </c>
      <c r="FR10" s="93">
        <v>17652</v>
      </c>
      <c r="FS10" s="65">
        <v>839</v>
      </c>
      <c r="FT10" s="65">
        <v>857</v>
      </c>
      <c r="FU10" s="65">
        <v>-18</v>
      </c>
      <c r="FV10" s="94">
        <v>-0.10186757147312164</v>
      </c>
      <c r="FW10" s="93">
        <v>17520</v>
      </c>
      <c r="FX10" s="65">
        <v>592</v>
      </c>
      <c r="FY10" s="65">
        <v>724</v>
      </c>
      <c r="FZ10" s="65">
        <v>-132</v>
      </c>
      <c r="GA10" s="94">
        <v>-0.7477906346321106</v>
      </c>
      <c r="GB10" s="93">
        <v>17473</v>
      </c>
      <c r="GC10" s="65">
        <v>901</v>
      </c>
      <c r="GD10" s="65">
        <v>948</v>
      </c>
      <c r="GE10" s="65">
        <v>-47</v>
      </c>
      <c r="GF10" s="94">
        <v>-0.26826483011245728</v>
      </c>
      <c r="GG10" s="93">
        <v>17398</v>
      </c>
      <c r="GH10" s="65">
        <v>912</v>
      </c>
      <c r="GI10" s="65">
        <v>987</v>
      </c>
      <c r="GJ10" s="65">
        <v>-75</v>
      </c>
      <c r="GK10" s="94">
        <v>-0.42923367023468018</v>
      </c>
      <c r="GL10" s="93">
        <v>17484</v>
      </c>
      <c r="GM10" s="65">
        <v>1054</v>
      </c>
      <c r="GN10" s="65">
        <v>968</v>
      </c>
      <c r="GO10" s="65">
        <v>86</v>
      </c>
      <c r="GP10" s="94">
        <v>0.4943096935749054</v>
      </c>
      <c r="GQ10" s="93">
        <v>17565</v>
      </c>
      <c r="GR10" s="65">
        <v>933</v>
      </c>
      <c r="GS10" s="65">
        <v>852</v>
      </c>
      <c r="GT10" s="65">
        <v>81</v>
      </c>
      <c r="GU10" s="94">
        <v>0.46328070759773254</v>
      </c>
      <c r="GV10" s="93">
        <v>17748</v>
      </c>
      <c r="GW10" s="65">
        <v>1078</v>
      </c>
      <c r="GX10" s="65">
        <v>895</v>
      </c>
      <c r="GY10" s="65">
        <v>183</v>
      </c>
      <c r="GZ10" s="94">
        <v>1.0418446063995361</v>
      </c>
      <c r="HA10" s="93">
        <v>17801</v>
      </c>
      <c r="HB10" s="65">
        <v>1073</v>
      </c>
      <c r="HC10" s="65">
        <v>1020</v>
      </c>
      <c r="HD10" s="65">
        <v>53</v>
      </c>
      <c r="HE10" s="94">
        <v>0.29862520098686218</v>
      </c>
      <c r="HF10" s="93">
        <v>17853</v>
      </c>
      <c r="HG10" s="65">
        <v>1047</v>
      </c>
      <c r="HH10" s="65">
        <v>995</v>
      </c>
      <c r="HI10" s="65">
        <v>52</v>
      </c>
      <c r="HJ10" s="94">
        <v>0.29211843013763428</v>
      </c>
      <c r="HK10" s="93">
        <v>17863</v>
      </c>
      <c r="HL10" s="65">
        <v>1007</v>
      </c>
      <c r="HM10" s="65">
        <v>997</v>
      </c>
      <c r="HN10" s="65">
        <v>10</v>
      </c>
      <c r="HO10" s="94">
        <v>5.6012995541095734E-2</v>
      </c>
      <c r="HP10" s="93">
        <v>17845</v>
      </c>
      <c r="HQ10" s="65">
        <v>889</v>
      </c>
      <c r="HR10" s="65">
        <v>907</v>
      </c>
      <c r="HS10" s="65">
        <v>-18</v>
      </c>
      <c r="HT10" s="94">
        <v>-0.10076694935560226</v>
      </c>
      <c r="HU10" s="93">
        <v>17960</v>
      </c>
      <c r="HV10" s="65">
        <v>1035</v>
      </c>
      <c r="HW10" s="65">
        <v>920</v>
      </c>
      <c r="HX10" s="65">
        <v>115</v>
      </c>
      <c r="HY10" s="94">
        <v>0.64443820714950562</v>
      </c>
      <c r="HZ10" s="93">
        <v>18003</v>
      </c>
      <c r="IA10" s="65">
        <v>942</v>
      </c>
      <c r="IB10" s="65">
        <v>899</v>
      </c>
      <c r="IC10" s="65">
        <v>43</v>
      </c>
      <c r="ID10" s="94">
        <v>0.23942093551158905</v>
      </c>
      <c r="IE10" s="93">
        <v>17988</v>
      </c>
      <c r="IF10" s="65">
        <v>760</v>
      </c>
      <c r="IG10" s="65">
        <v>775</v>
      </c>
      <c r="IH10" s="65">
        <v>-15</v>
      </c>
      <c r="II10" s="94">
        <v>-8.3319447934627533E-2</v>
      </c>
      <c r="IJ10" s="93">
        <v>18000</v>
      </c>
      <c r="IK10" s="65">
        <v>852</v>
      </c>
      <c r="IL10" s="65">
        <v>840</v>
      </c>
      <c r="IM10" s="65">
        <v>12</v>
      </c>
      <c r="IN10" s="94">
        <v>6.6711142659187317E-2</v>
      </c>
      <c r="IO10" s="93">
        <v>18051</v>
      </c>
      <c r="IP10" s="65">
        <v>1070</v>
      </c>
      <c r="IQ10" s="65">
        <v>1019</v>
      </c>
      <c r="IR10" s="65">
        <v>51</v>
      </c>
      <c r="IS10" s="94">
        <v>0.28333333134651184</v>
      </c>
      <c r="IT10" s="93">
        <v>18142</v>
      </c>
      <c r="IU10" s="65">
        <v>1028</v>
      </c>
      <c r="IV10" s="65">
        <v>937</v>
      </c>
      <c r="IW10" s="65">
        <v>91</v>
      </c>
      <c r="IX10" s="94">
        <v>0.50412720441818237</v>
      </c>
      <c r="IY10" s="93">
        <v>18107</v>
      </c>
      <c r="IZ10" s="65">
        <v>953</v>
      </c>
      <c r="JA10" s="65">
        <v>988</v>
      </c>
      <c r="JB10" s="65">
        <v>-35</v>
      </c>
      <c r="JC10" s="94">
        <v>-0.19292250275611877</v>
      </c>
      <c r="JD10" s="93">
        <v>18141</v>
      </c>
      <c r="JE10" s="65">
        <v>988</v>
      </c>
      <c r="JF10" s="65">
        <v>954</v>
      </c>
      <c r="JG10" s="65">
        <v>34</v>
      </c>
      <c r="JH10" s="94">
        <v>0.18777269124984741</v>
      </c>
      <c r="JI10" s="93">
        <v>18200</v>
      </c>
      <c r="JJ10" s="65">
        <v>1028</v>
      </c>
      <c r="JK10" s="65">
        <v>969</v>
      </c>
      <c r="JL10" s="65">
        <v>59</v>
      </c>
      <c r="JM10" s="94">
        <v>0.32523015141487122</v>
      </c>
      <c r="JN10" s="93">
        <v>18554</v>
      </c>
      <c r="JO10" s="65">
        <v>1348</v>
      </c>
      <c r="JP10" s="65">
        <v>994</v>
      </c>
      <c r="JQ10" s="65">
        <v>354</v>
      </c>
      <c r="JR10" s="94">
        <v>1.9450548887252808</v>
      </c>
      <c r="JS10" s="93">
        <v>18604</v>
      </c>
      <c r="JT10" s="65">
        <v>1096</v>
      </c>
      <c r="JU10" s="65">
        <v>1046</v>
      </c>
      <c r="JV10" s="65">
        <v>50</v>
      </c>
      <c r="JW10" s="94">
        <v>0.26948365569114685</v>
      </c>
      <c r="JX10" s="93">
        <v>18697</v>
      </c>
      <c r="JY10" s="65">
        <v>1005</v>
      </c>
      <c r="JZ10" s="65">
        <v>912</v>
      </c>
      <c r="KA10" s="65">
        <v>93</v>
      </c>
      <c r="KB10" s="94">
        <v>0.49989250302314758</v>
      </c>
      <c r="KC10" s="93">
        <v>18702</v>
      </c>
      <c r="KD10" s="65">
        <v>1024</v>
      </c>
      <c r="KE10" s="65">
        <v>1019</v>
      </c>
      <c r="KF10" s="65">
        <v>5</v>
      </c>
      <c r="KG10" s="94">
        <v>2.6742259040474892E-2</v>
      </c>
      <c r="KH10" s="93">
        <v>18758</v>
      </c>
      <c r="KI10" s="65">
        <v>887</v>
      </c>
      <c r="KJ10" s="65">
        <v>831</v>
      </c>
      <c r="KK10" s="65">
        <v>56</v>
      </c>
      <c r="KL10" s="94">
        <v>0.29943320155143738</v>
      </c>
      <c r="KM10" s="93">
        <v>18635</v>
      </c>
      <c r="KN10" s="65">
        <v>684</v>
      </c>
      <c r="KO10" s="65">
        <v>807</v>
      </c>
      <c r="KP10" s="65">
        <v>-123</v>
      </c>
      <c r="KQ10" s="94">
        <v>-0.65572023391723633</v>
      </c>
      <c r="KR10" s="93">
        <v>18673</v>
      </c>
      <c r="KS10" s="65">
        <v>983</v>
      </c>
      <c r="KT10" s="65">
        <v>945</v>
      </c>
      <c r="KU10" s="65">
        <v>38</v>
      </c>
      <c r="KV10" s="94">
        <v>0.20391735434532166</v>
      </c>
      <c r="KW10" s="93">
        <v>18681</v>
      </c>
      <c r="KX10" s="65">
        <v>1024</v>
      </c>
      <c r="KY10" s="65">
        <v>1016</v>
      </c>
      <c r="KZ10" s="65">
        <v>8</v>
      </c>
      <c r="LA10" s="94">
        <v>4.2842607945203781E-2</v>
      </c>
      <c r="LB10" s="93">
        <v>18694</v>
      </c>
      <c r="LC10" s="65">
        <v>1002</v>
      </c>
      <c r="LD10" s="65">
        <v>989</v>
      </c>
      <c r="LE10" s="65">
        <v>13</v>
      </c>
      <c r="LF10" s="94">
        <v>6.9589421153068542E-2</v>
      </c>
      <c r="LG10" s="93">
        <v>18718</v>
      </c>
      <c r="LH10" s="65">
        <v>1043</v>
      </c>
      <c r="LI10" s="65">
        <v>1019</v>
      </c>
      <c r="LJ10" s="65">
        <v>24</v>
      </c>
      <c r="LK10" s="94">
        <v>0.12838344275951385</v>
      </c>
      <c r="LL10" s="93">
        <v>18850</v>
      </c>
      <c r="LM10" s="65">
        <v>1102</v>
      </c>
      <c r="LN10" s="65">
        <v>970</v>
      </c>
      <c r="LO10" s="65">
        <v>132</v>
      </c>
      <c r="LP10" s="94">
        <v>0.70520353317260742</v>
      </c>
      <c r="LQ10" s="93">
        <v>18831</v>
      </c>
      <c r="LR10" s="65">
        <v>1005</v>
      </c>
      <c r="LS10" s="65">
        <v>1024</v>
      </c>
      <c r="LT10" s="65">
        <v>-19</v>
      </c>
      <c r="LU10" s="94">
        <v>-0.10079575330018997</v>
      </c>
      <c r="LV10" s="93">
        <v>18829</v>
      </c>
      <c r="LW10" s="65">
        <v>1067</v>
      </c>
      <c r="LX10" s="65">
        <v>1069</v>
      </c>
      <c r="LY10" s="65">
        <v>-2</v>
      </c>
      <c r="LZ10" s="94">
        <v>-1.0620784945785999E-2</v>
      </c>
      <c r="MA10" s="93">
        <v>18942</v>
      </c>
      <c r="MB10" s="65">
        <v>1074</v>
      </c>
      <c r="MC10" s="65">
        <v>961</v>
      </c>
      <c r="MD10" s="65">
        <v>113</v>
      </c>
      <c r="ME10" s="94">
        <v>0.60013806819915771</v>
      </c>
      <c r="MF10" s="93">
        <v>19067</v>
      </c>
      <c r="MG10" s="65">
        <v>1094</v>
      </c>
      <c r="MH10" s="65">
        <v>969</v>
      </c>
      <c r="MI10" s="65">
        <v>125</v>
      </c>
      <c r="MJ10" s="94">
        <v>0.65990918874740601</v>
      </c>
      <c r="MK10" s="93">
        <v>19148</v>
      </c>
      <c r="ML10" s="65">
        <v>1119</v>
      </c>
      <c r="MM10" s="65">
        <v>1038</v>
      </c>
      <c r="MN10" s="65">
        <v>81</v>
      </c>
      <c r="MO10" s="94">
        <v>0.42481774091720581</v>
      </c>
      <c r="MP10" s="93">
        <v>19105</v>
      </c>
      <c r="MQ10" s="65">
        <v>837</v>
      </c>
      <c r="MR10" s="65">
        <v>880</v>
      </c>
      <c r="MS10" s="65">
        <v>-43</v>
      </c>
      <c r="MT10" s="94">
        <v>-0.22456653416156769</v>
      </c>
      <c r="MU10" s="93">
        <v>18929</v>
      </c>
      <c r="MV10" s="65">
        <v>648</v>
      </c>
      <c r="MW10" s="65">
        <v>824</v>
      </c>
      <c r="MX10" s="65">
        <v>-176</v>
      </c>
      <c r="MY10" s="94">
        <v>-0.92122483253479004</v>
      </c>
      <c r="MZ10" s="93">
        <v>18969</v>
      </c>
      <c r="NA10" s="65">
        <v>1001</v>
      </c>
      <c r="NB10" s="65">
        <v>961</v>
      </c>
      <c r="NC10" s="65">
        <v>40</v>
      </c>
      <c r="ND10" s="94">
        <v>0.21131597459316254</v>
      </c>
      <c r="NE10" s="93">
        <v>18900</v>
      </c>
      <c r="NF10" s="93">
        <v>987</v>
      </c>
      <c r="NG10" s="93">
        <v>1056</v>
      </c>
      <c r="NH10" s="93">
        <v>-69</v>
      </c>
      <c r="NI10" s="94">
        <v>-0.36375138163566589</v>
      </c>
      <c r="NJ10" s="93">
        <v>18845</v>
      </c>
      <c r="NK10" s="93">
        <v>1096</v>
      </c>
      <c r="NL10" s="93">
        <v>1151</v>
      </c>
      <c r="NM10" s="93">
        <v>-55</v>
      </c>
      <c r="NN10" s="94">
        <v>-0.29100528359413147</v>
      </c>
      <c r="NO10" s="93">
        <f t="shared" si="2"/>
        <v>3084</v>
      </c>
      <c r="NP10" s="93">
        <f t="shared" si="3"/>
        <v>3168</v>
      </c>
      <c r="NQ10" s="93">
        <f t="shared" si="4"/>
        <v>-84</v>
      </c>
      <c r="NR10" s="94">
        <f t="shared" si="5"/>
        <v>-0.44376353742934121</v>
      </c>
      <c r="NS10" s="59">
        <f t="shared" si="6"/>
        <v>12073</v>
      </c>
      <c r="NT10" s="59">
        <f t="shared" si="7"/>
        <v>11922</v>
      </c>
      <c r="NU10" s="59">
        <f t="shared" si="8"/>
        <v>151</v>
      </c>
      <c r="NV10" s="94">
        <f t="shared" si="9"/>
        <v>0.80774580079169789</v>
      </c>
      <c r="NW10" s="12"/>
    </row>
  </sheetData>
  <mergeCells count="80">
    <mergeCell ref="MP5:MT5"/>
    <mergeCell ref="KH5:KL5"/>
    <mergeCell ref="HA5:HE5"/>
    <mergeCell ref="HF5:HJ5"/>
    <mergeCell ref="HK5:HO5"/>
    <mergeCell ref="IJ5:IN5"/>
    <mergeCell ref="HZ5:ID5"/>
    <mergeCell ref="IE5:II5"/>
    <mergeCell ref="JN5:JR5"/>
    <mergeCell ref="IO5:IS5"/>
    <mergeCell ref="IT5:IX5"/>
    <mergeCell ref="IY5:JC5"/>
    <mergeCell ref="JD5:JH5"/>
    <mergeCell ref="JI5:JM5"/>
    <mergeCell ref="MK5:MO5"/>
    <mergeCell ref="MF5:MJ5"/>
    <mergeCell ref="MA5:ME5"/>
    <mergeCell ref="LQ5:LU5"/>
    <mergeCell ref="CA5:CE5"/>
    <mergeCell ref="LG5:LK5"/>
    <mergeCell ref="KW5:LA5"/>
    <mergeCell ref="LB5:LF5"/>
    <mergeCell ref="LL5:LP5"/>
    <mergeCell ref="LV5:LZ5"/>
    <mergeCell ref="GG5:GK5"/>
    <mergeCell ref="GL5:GP5"/>
    <mergeCell ref="GQ5:GU5"/>
    <mergeCell ref="GV5:GZ5"/>
    <mergeCell ref="DT5:DX5"/>
    <mergeCell ref="CF5:CJ5"/>
    <mergeCell ref="CK5:CO5"/>
    <mergeCell ref="CP5:CT5"/>
    <mergeCell ref="B5:B6"/>
    <mergeCell ref="C5:C6"/>
    <mergeCell ref="D5:D6"/>
    <mergeCell ref="E5:H5"/>
    <mergeCell ref="I5:M5"/>
    <mergeCell ref="N5:R5"/>
    <mergeCell ref="S5:W5"/>
    <mergeCell ref="X5:AB5"/>
    <mergeCell ref="AC5:AG5"/>
    <mergeCell ref="AH5:AL5"/>
    <mergeCell ref="AM5:AQ5"/>
    <mergeCell ref="AR5:AV5"/>
    <mergeCell ref="BV5:BZ5"/>
    <mergeCell ref="AW5:BA5"/>
    <mergeCell ref="JX5:KB5"/>
    <mergeCell ref="KC5:KG5"/>
    <mergeCell ref="GB5:GF5"/>
    <mergeCell ref="JS5:JW5"/>
    <mergeCell ref="BB5:BF5"/>
    <mergeCell ref="BG5:BK5"/>
    <mergeCell ref="BL5:BP5"/>
    <mergeCell ref="BQ5:BU5"/>
    <mergeCell ref="DY5:EC5"/>
    <mergeCell ref="ED5:EH5"/>
    <mergeCell ref="EI5:EM5"/>
    <mergeCell ref="EN5:ER5"/>
    <mergeCell ref="ES5:EW5"/>
    <mergeCell ref="EX5:FB5"/>
    <mergeCell ref="FC5:FG5"/>
    <mergeCell ref="KR5:KV5"/>
    <mergeCell ref="KM5:KQ5"/>
    <mergeCell ref="CU5:CY5"/>
    <mergeCell ref="CZ5:DD5"/>
    <mergeCell ref="DO5:DS5"/>
    <mergeCell ref="DE5:DI5"/>
    <mergeCell ref="FH5:FL5"/>
    <mergeCell ref="FM5:FQ5"/>
    <mergeCell ref="FR5:FV5"/>
    <mergeCell ref="FW5:GA5"/>
    <mergeCell ref="DJ5:DN5"/>
    <mergeCell ref="HP5:HT5"/>
    <mergeCell ref="HU5:HY5"/>
    <mergeCell ref="NE5:NI5"/>
    <mergeCell ref="NO5:NR5"/>
    <mergeCell ref="NS5:NV5"/>
    <mergeCell ref="MZ5:ND5"/>
    <mergeCell ref="MU5:MY5"/>
    <mergeCell ref="NJ5:NN5"/>
  </mergeCells>
  <pageMargins left="0.23622047244094491" right="0.23622047244094491" top="0.74803149606299213" bottom="0.74803149606299213" header="0.31496062992125984" footer="0.31496062992125984"/>
  <pageSetup paperSize="9" scale="50" orientation="portrait" r:id="rId1"/>
  <headerFooter>
    <oddFooter>Página 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03CC-5549-41C2-8B7D-228AC06DD2D6}">
  <sheetPr>
    <pageSetUpPr fitToPage="1"/>
  </sheetPr>
  <dimension ref="A1:DJ10"/>
  <sheetViews>
    <sheetView showGridLines="0" zoomScaleNormal="100" workbookViewId="0">
      <pane ySplit="5" topLeftCell="A6" activePane="bottomLeft" state="frozen"/>
      <selection activeCell="B80" sqref="B6:G80"/>
      <selection pane="bottomLeft" activeCell="A11" sqref="A11:XFD1048576"/>
    </sheetView>
  </sheetViews>
  <sheetFormatPr defaultColWidth="9.140625" defaultRowHeight="16.5" customHeight="1"/>
  <cols>
    <col min="1" max="1" width="0.7109375" customWidth="1"/>
    <col min="2" max="2" width="52.5703125" customWidth="1"/>
    <col min="3" max="4" width="32" customWidth="1"/>
    <col min="5" max="5" width="0.7109375" customWidth="1"/>
    <col min="6" max="6" width="10.140625" hidden="1" customWidth="1"/>
    <col min="7" max="7" width="15" bestFit="1" customWidth="1"/>
    <col min="8" max="8" width="9.28515625" bestFit="1" customWidth="1"/>
  </cols>
  <sheetData>
    <row r="1" spans="1:114" ht="8.25" customHeight="1">
      <c r="A1" s="147"/>
      <c r="B1" s="147"/>
      <c r="C1" s="39"/>
      <c r="D1" s="39"/>
      <c r="E1" s="147"/>
      <c r="F1" s="147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</row>
    <row r="2" spans="1:114" ht="15.75">
      <c r="A2" s="39"/>
      <c r="B2" s="33" t="s">
        <v>140</v>
      </c>
      <c r="C2" s="39"/>
      <c r="D2" s="39"/>
      <c r="E2" s="147"/>
      <c r="F2" s="147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</row>
    <row r="3" spans="1:114" ht="15" customHeight="1">
      <c r="A3" s="147"/>
      <c r="B3" s="147"/>
      <c r="C3" s="40"/>
      <c r="D3" s="40"/>
      <c r="E3" s="147"/>
      <c r="F3" s="147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</row>
    <row r="4" spans="1:114" ht="3.95" customHeight="1">
      <c r="A4" s="146"/>
      <c r="B4" s="146"/>
      <c r="C4" s="42"/>
      <c r="D4" s="42"/>
      <c r="E4" s="146"/>
      <c r="F4" s="146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</row>
    <row r="5" spans="1:114" ht="32.25" customHeight="1" thickBot="1">
      <c r="A5" s="41"/>
      <c r="B5" s="92" t="s">
        <v>52</v>
      </c>
      <c r="C5" s="92" t="s">
        <v>141</v>
      </c>
      <c r="D5" s="92" t="s">
        <v>142</v>
      </c>
      <c r="E5" s="155"/>
      <c r="F5" s="146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</row>
    <row r="6" spans="1:114" ht="31.5" customHeight="1" thickTop="1">
      <c r="A6" s="41"/>
      <c r="B6" s="17" t="s">
        <v>54</v>
      </c>
      <c r="C6" s="116">
        <v>2469.8252372847874</v>
      </c>
      <c r="D6" s="117">
        <v>2525.1246452530622</v>
      </c>
      <c r="E6" s="155"/>
      <c r="F6" s="146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</row>
    <row r="7" spans="1:114" ht="31.5" customHeight="1">
      <c r="A7" s="41"/>
      <c r="B7" s="17" t="s">
        <v>55</v>
      </c>
      <c r="C7" s="116">
        <v>2411.9904854563183</v>
      </c>
      <c r="D7" s="117">
        <v>2526.6147157673886</v>
      </c>
      <c r="E7" s="155"/>
      <c r="F7" s="146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</row>
    <row r="8" spans="1:114" ht="31.5" customHeight="1">
      <c r="A8" s="41"/>
      <c r="B8" s="17" t="s">
        <v>56</v>
      </c>
      <c r="C8" s="116">
        <v>2427.8586244409785</v>
      </c>
      <c r="D8" s="117">
        <v>2423.8332100664529</v>
      </c>
      <c r="E8" s="155"/>
      <c r="F8" s="146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</row>
    <row r="9" spans="1:114" ht="31.5" customHeight="1">
      <c r="A9" s="41"/>
      <c r="B9" s="17" t="s">
        <v>57</v>
      </c>
      <c r="C9" s="116">
        <v>2584.7385857553572</v>
      </c>
      <c r="D9" s="117">
        <v>2424.7672841202111</v>
      </c>
      <c r="E9" s="155"/>
      <c r="F9" s="146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</row>
    <row r="10" spans="1:114" ht="31.5" customHeight="1">
      <c r="A10" s="41"/>
      <c r="B10" s="17" t="s">
        <v>58</v>
      </c>
      <c r="C10" s="116">
        <v>2458.805387436295</v>
      </c>
      <c r="D10" s="117">
        <v>2555.8267698057271</v>
      </c>
      <c r="E10" s="155"/>
      <c r="F10" s="146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</row>
  </sheetData>
  <mergeCells count="13">
    <mergeCell ref="E10:F10"/>
    <mergeCell ref="E7:F7"/>
    <mergeCell ref="E8:F8"/>
    <mergeCell ref="E9:F9"/>
    <mergeCell ref="A1:B1"/>
    <mergeCell ref="E1:F1"/>
    <mergeCell ref="E2:F2"/>
    <mergeCell ref="A3:B3"/>
    <mergeCell ref="E3:F3"/>
    <mergeCell ref="A4:B4"/>
    <mergeCell ref="E4:F4"/>
    <mergeCell ref="E5:F5"/>
    <mergeCell ref="E6:F6"/>
  </mergeCells>
  <phoneticPr fontId="22" type="noConversion"/>
  <printOptions horizontalCentered="1" verticalCentered="1"/>
  <pageMargins left="0" right="0" top="0" bottom="0" header="0.19" footer="0.18"/>
  <pageSetup paperSize="9" scale="4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10C3-35FF-41FC-9797-B1081964C609}">
  <sheetPr>
    <pageSetUpPr fitToPage="1"/>
  </sheetPr>
  <dimension ref="A1:I10"/>
  <sheetViews>
    <sheetView showGridLines="0" zoomScaleNormal="10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A11" sqref="A11:XFD1048576"/>
    </sheetView>
  </sheetViews>
  <sheetFormatPr defaultColWidth="9.140625" defaultRowHeight="16.5" customHeight="1"/>
  <cols>
    <col min="1" max="1" width="0.7109375" style="95" customWidth="1"/>
    <col min="2" max="2" width="97.140625" style="95" customWidth="1"/>
    <col min="3" max="6" width="17" style="95" customWidth="1"/>
    <col min="7" max="7" width="0.7109375" style="95" customWidth="1"/>
    <col min="8" max="8" width="10.140625" style="95" bestFit="1" customWidth="1"/>
    <col min="9" max="9" width="11.42578125" style="95" customWidth="1"/>
    <col min="10" max="16384" width="9.140625" style="95"/>
  </cols>
  <sheetData>
    <row r="1" spans="1:9" ht="8.25" customHeight="1">
      <c r="A1" s="4"/>
      <c r="B1" s="4"/>
      <c r="C1" s="4"/>
      <c r="D1" s="4"/>
      <c r="E1" s="4"/>
      <c r="F1" s="4"/>
      <c r="G1" s="4"/>
      <c r="H1" s="4"/>
      <c r="I1" s="4"/>
    </row>
    <row r="2" spans="1:9" ht="18.75" customHeight="1">
      <c r="A2" s="4"/>
      <c r="B2" s="9" t="s">
        <v>143</v>
      </c>
      <c r="C2" s="4"/>
      <c r="D2" s="4"/>
      <c r="E2" s="4"/>
      <c r="F2" s="4"/>
      <c r="G2" s="4"/>
      <c r="H2" s="4"/>
      <c r="I2" s="4"/>
    </row>
    <row r="3" spans="1:9" ht="15" customHeight="1">
      <c r="A3" s="4"/>
      <c r="B3" s="16"/>
      <c r="C3" s="4"/>
      <c r="D3" s="4"/>
      <c r="E3" s="4"/>
      <c r="F3" s="4"/>
      <c r="G3" s="4"/>
      <c r="H3" s="4"/>
      <c r="I3" s="4"/>
    </row>
    <row r="4" spans="1:9" ht="3.95" customHeight="1">
      <c r="A4" s="8"/>
      <c r="B4" s="7"/>
      <c r="C4" s="8"/>
      <c r="D4" s="7"/>
      <c r="E4" s="7"/>
      <c r="F4" s="7"/>
      <c r="G4" s="8"/>
      <c r="H4" s="4"/>
      <c r="I4" s="4"/>
    </row>
    <row r="5" spans="1:9" ht="32.25" customHeight="1">
      <c r="A5" s="8"/>
      <c r="B5" s="121" t="s">
        <v>0</v>
      </c>
      <c r="C5" s="122" t="s">
        <v>144</v>
      </c>
      <c r="D5" s="122"/>
      <c r="E5" s="122"/>
      <c r="F5" s="122"/>
      <c r="G5" s="8"/>
      <c r="H5" s="4"/>
      <c r="I5" s="4"/>
    </row>
    <row r="6" spans="1:9" ht="32.25" customHeight="1">
      <c r="A6" s="8"/>
      <c r="B6" s="121"/>
      <c r="C6" s="81" t="s">
        <v>2</v>
      </c>
      <c r="D6" s="81" t="s">
        <v>3</v>
      </c>
      <c r="E6" s="81" t="s">
        <v>145</v>
      </c>
      <c r="F6" s="82" t="s">
        <v>146</v>
      </c>
      <c r="G6" s="8"/>
      <c r="H6" s="4"/>
      <c r="I6" s="4"/>
    </row>
    <row r="7" spans="1:9" ht="31.5" customHeight="1">
      <c r="A7" s="8"/>
      <c r="B7" s="73" t="s">
        <v>6</v>
      </c>
      <c r="C7" s="111">
        <v>26619920</v>
      </c>
      <c r="D7" s="111">
        <v>16132676</v>
      </c>
      <c r="E7" s="111">
        <v>48476908</v>
      </c>
      <c r="F7" s="74">
        <f>MIN(C7:D7)/E7*100</f>
        <v>33.279094450495897</v>
      </c>
      <c r="G7" s="8"/>
      <c r="H7" s="48"/>
      <c r="I7" s="48"/>
    </row>
    <row r="8" spans="1:9" s="96" customFormat="1" ht="31.5" customHeight="1">
      <c r="A8" s="13"/>
      <c r="B8" s="53" t="s">
        <v>7</v>
      </c>
      <c r="C8" s="52">
        <v>1227784</v>
      </c>
      <c r="D8" s="52">
        <v>862907</v>
      </c>
      <c r="E8" s="52">
        <v>1851419.5</v>
      </c>
      <c r="F8" s="74">
        <f t="shared" ref="F8:F10" si="0">MIN(C8:D8)/E8*100</f>
        <v>46.607859536966096</v>
      </c>
      <c r="G8" s="13"/>
      <c r="H8" s="14"/>
      <c r="I8" s="14"/>
    </row>
    <row r="9" spans="1:9" s="96" customFormat="1" ht="31.5" customHeight="1">
      <c r="A9" s="13"/>
      <c r="B9" s="53" t="s">
        <v>8</v>
      </c>
      <c r="C9" s="75">
        <v>3968806</v>
      </c>
      <c r="D9" s="75">
        <v>2426700</v>
      </c>
      <c r="E9" s="75">
        <v>9134038</v>
      </c>
      <c r="F9" s="77">
        <f t="shared" si="0"/>
        <v>26.567658247097288</v>
      </c>
      <c r="G9" s="13"/>
      <c r="H9" s="14"/>
      <c r="I9" s="14"/>
    </row>
    <row r="10" spans="1:9" ht="31.5" customHeight="1">
      <c r="A10" s="8"/>
      <c r="B10" s="55" t="s">
        <v>9</v>
      </c>
      <c r="C10" s="78">
        <v>76273</v>
      </c>
      <c r="D10" s="78">
        <v>46201</v>
      </c>
      <c r="E10" s="78">
        <v>290032</v>
      </c>
      <c r="F10" s="80">
        <f t="shared" si="0"/>
        <v>15.929621559000386</v>
      </c>
      <c r="G10" s="8"/>
      <c r="H10" s="48"/>
      <c r="I10" s="48"/>
    </row>
  </sheetData>
  <mergeCells count="2">
    <mergeCell ref="B5:B6"/>
    <mergeCell ref="C5:F5"/>
  </mergeCells>
  <printOptions horizontalCentered="1" verticalCentered="1"/>
  <pageMargins left="0" right="0" top="0" bottom="0" header="0.19" footer="0.18"/>
  <pageSetup paperSize="9" scale="8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4998-6682-47E3-B1CF-216A02AC1BE3}">
  <sheetPr>
    <pageSetUpPr fitToPage="1"/>
  </sheetPr>
  <dimension ref="A1:M10"/>
  <sheetViews>
    <sheetView showGridLines="0" zoomScaleNormal="100" workbookViewId="0">
      <pane xSplit="2" ySplit="6" topLeftCell="C7" activePane="bottomRight" state="frozen"/>
      <selection activeCell="B80" sqref="B6:G80"/>
      <selection pane="topRight" activeCell="B80" sqref="B6:G80"/>
      <selection pane="bottomLeft" activeCell="B80" sqref="B6:G80"/>
      <selection pane="bottomRight" activeCell="B12" sqref="B12"/>
    </sheetView>
  </sheetViews>
  <sheetFormatPr defaultColWidth="9.140625" defaultRowHeight="16.5" customHeight="1"/>
  <cols>
    <col min="1" max="1" width="0.7109375" style="95" customWidth="1"/>
    <col min="2" max="2" width="50.5703125" style="95" customWidth="1"/>
    <col min="3" max="6" width="16.140625" style="95" customWidth="1"/>
    <col min="7" max="7" width="0.7109375" style="95" customWidth="1"/>
    <col min="8" max="8" width="11.42578125" style="95" customWidth="1"/>
    <col min="9" max="12" width="9.140625" style="95" bestFit="1"/>
    <col min="13" max="13" width="13.28515625" style="95" bestFit="1" customWidth="1"/>
    <col min="14" max="16384" width="9.140625" style="95"/>
  </cols>
  <sheetData>
    <row r="1" spans="1:13" ht="8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4"/>
      <c r="B2" s="9" t="s">
        <v>147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 customHeight="1">
      <c r="A3" s="4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3.95" customHeight="1">
      <c r="A4" s="8"/>
      <c r="B4" s="7"/>
      <c r="C4" s="8"/>
      <c r="D4" s="7"/>
      <c r="E4" s="7"/>
      <c r="F4" s="7"/>
      <c r="G4" s="8"/>
      <c r="H4" s="4"/>
      <c r="I4" s="4"/>
      <c r="J4" s="4"/>
      <c r="K4" s="4"/>
      <c r="L4" s="4"/>
      <c r="M4" s="4"/>
    </row>
    <row r="5" spans="1:13" ht="32.25" customHeight="1">
      <c r="A5" s="8"/>
      <c r="B5" s="121" t="s">
        <v>11</v>
      </c>
      <c r="C5" s="122" t="s">
        <v>144</v>
      </c>
      <c r="D5" s="122"/>
      <c r="E5" s="122"/>
      <c r="F5" s="122"/>
      <c r="G5" s="8"/>
      <c r="H5" s="4"/>
      <c r="I5" s="4"/>
      <c r="J5" s="4"/>
      <c r="K5" s="4"/>
      <c r="L5" s="4"/>
      <c r="M5" s="4"/>
    </row>
    <row r="6" spans="1:13" ht="32.25" customHeight="1">
      <c r="A6" s="8"/>
      <c r="B6" s="121"/>
      <c r="C6" s="81" t="s">
        <v>2</v>
      </c>
      <c r="D6" s="81" t="s">
        <v>3</v>
      </c>
      <c r="E6" s="81" t="s">
        <v>145</v>
      </c>
      <c r="F6" s="82" t="s">
        <v>146</v>
      </c>
      <c r="G6" s="8"/>
      <c r="H6" s="4"/>
      <c r="I6" s="4"/>
      <c r="J6" s="4"/>
      <c r="K6" s="4"/>
      <c r="L6" s="4"/>
      <c r="M6" s="4"/>
    </row>
    <row r="7" spans="1:13" ht="31.5" customHeight="1">
      <c r="A7" s="8"/>
      <c r="B7" s="70" t="s">
        <v>13</v>
      </c>
      <c r="C7" s="102">
        <v>26619920</v>
      </c>
      <c r="D7" s="102">
        <v>16132676</v>
      </c>
      <c r="E7" s="102">
        <v>48476908</v>
      </c>
      <c r="F7" s="100">
        <f t="shared" ref="F7:F10" si="0">MIN(C7:D7)/E7*100</f>
        <v>33.279094450495897</v>
      </c>
      <c r="G7" s="8"/>
      <c r="H7" s="4"/>
      <c r="I7" s="4"/>
      <c r="J7" s="4"/>
      <c r="K7" s="4"/>
      <c r="L7" s="4"/>
      <c r="M7" s="4"/>
    </row>
    <row r="8" spans="1:13" s="96" customFormat="1" ht="31.5" customHeight="1">
      <c r="A8" s="13"/>
      <c r="B8" s="71" t="s">
        <v>14</v>
      </c>
      <c r="C8" s="60">
        <v>1306424</v>
      </c>
      <c r="D8" s="60">
        <v>833575</v>
      </c>
      <c r="E8" s="60">
        <v>2453339.5</v>
      </c>
      <c r="F8" s="61">
        <f t="shared" si="0"/>
        <v>33.977156443288834</v>
      </c>
      <c r="G8" s="13"/>
      <c r="H8" s="15"/>
      <c r="I8" s="15"/>
      <c r="J8" s="15"/>
      <c r="K8" s="15"/>
      <c r="L8" s="15"/>
      <c r="M8" s="15"/>
    </row>
    <row r="9" spans="1:13" ht="31.5" customHeight="1">
      <c r="A9" s="8"/>
      <c r="B9" s="72" t="s">
        <v>15</v>
      </c>
      <c r="C9" s="56">
        <v>175122</v>
      </c>
      <c r="D9" s="56">
        <v>98070</v>
      </c>
      <c r="E9" s="56">
        <v>303463</v>
      </c>
      <c r="F9" s="58">
        <f t="shared" si="0"/>
        <v>32.316954620497391</v>
      </c>
      <c r="G9" s="8"/>
      <c r="H9" s="4"/>
      <c r="I9" s="4"/>
      <c r="J9" s="4"/>
      <c r="K9" s="4"/>
      <c r="L9" s="4"/>
      <c r="M9" s="4"/>
    </row>
    <row r="10" spans="1:13" ht="31.5" customHeight="1">
      <c r="A10" s="8"/>
      <c r="B10" s="72" t="s">
        <v>16</v>
      </c>
      <c r="C10" s="56">
        <v>57914</v>
      </c>
      <c r="D10" s="56">
        <v>36522</v>
      </c>
      <c r="E10" s="56">
        <v>113897.5</v>
      </c>
      <c r="F10" s="58">
        <f t="shared" si="0"/>
        <v>32.06567308325468</v>
      </c>
      <c r="G10" s="8"/>
      <c r="H10" s="4"/>
      <c r="I10" s="4"/>
      <c r="J10" s="4"/>
      <c r="K10" s="4"/>
      <c r="L10" s="4"/>
      <c r="M10" s="4"/>
    </row>
  </sheetData>
  <mergeCells count="2">
    <mergeCell ref="B5:B6"/>
    <mergeCell ref="C5:F5"/>
  </mergeCells>
  <printOptions horizontalCentered="1" verticalCentered="1"/>
  <pageMargins left="0" right="0" top="0" bottom="0" header="0.19" footer="0.18"/>
  <pageSetup paperSize="9" scale="7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3d10cd-4c04-4ec8-ba05-3e70f37df872">
      <Terms xmlns="http://schemas.microsoft.com/office/infopath/2007/PartnerControls"/>
    </lcf76f155ced4ddcb4097134ff3c332f>
    <TaxCatchAll xmlns="67ac2bfe-88d2-49dd-8544-fcb6aa9f70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0B532571D01743925DA9500A8046C1" ma:contentTypeVersion="17" ma:contentTypeDescription="Crie um novo documento." ma:contentTypeScope="" ma:versionID="9134f11aabaeac4033fd2a51ad0a6e09">
  <xsd:schema xmlns:xsd="http://www.w3.org/2001/XMLSchema" xmlns:xs="http://www.w3.org/2001/XMLSchema" xmlns:p="http://schemas.microsoft.com/office/2006/metadata/properties" xmlns:ns2="67ac2bfe-88d2-49dd-8544-fcb6aa9f7016" xmlns:ns3="2f3d10cd-4c04-4ec8-ba05-3e70f37df872" targetNamespace="http://schemas.microsoft.com/office/2006/metadata/properties" ma:root="true" ma:fieldsID="9cb48b10721108daa33da7f9e7689878" ns2:_="" ns3:_="">
    <xsd:import namespace="67ac2bfe-88d2-49dd-8544-fcb6aa9f7016"/>
    <xsd:import namespace="2f3d10cd-4c04-4ec8-ba05-3e70f37df87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c2bfe-88d2-49dd-8544-fcb6aa9f70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b3a9348-7f5c-478c-8bc5-ab48bf4da463}" ma:internalName="TaxCatchAll" ma:showField="CatchAllData" ma:web="67ac2bfe-88d2-49dd-8544-fcb6aa9f7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d10cd-4c04-4ec8-ba05-3e70f37df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897d17-34fd-4a01-8f80-908009a6c4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9BAAA72-4A3D-4804-8E68-264C2A1B4CA2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67ac2bfe-88d2-49dd-8544-fcb6aa9f7016"/>
    <ds:schemaRef ds:uri="http://schemas.microsoft.com/office/infopath/2007/PartnerControls"/>
    <ds:schemaRef ds:uri="2f3d10cd-4c04-4ec8-ba05-3e70f37df87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0FDEEBB-0F51-4CF4-9D2E-4845B9643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5B800C-6857-459E-9D41-7E3FBDA0FA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c2bfe-88d2-49dd-8544-fcb6aa9f7016"/>
    <ds:schemaRef ds:uri="2f3d10cd-4c04-4ec8-ba05-3e70f37df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6F504FF-7C76-412D-8E29-2F05C4D739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11</vt:i4>
      </vt:variant>
    </vt:vector>
  </HeadingPairs>
  <TitlesOfParts>
    <vt:vector size="26" baseType="lpstr">
      <vt:lpstr>Tabela 1</vt:lpstr>
      <vt:lpstr>Tabela 2</vt:lpstr>
      <vt:lpstr>Tabela 3</vt:lpstr>
      <vt:lpstr>Tabela 4</vt:lpstr>
      <vt:lpstr>Tabela 5</vt:lpstr>
      <vt:lpstr>Tabela 5.1</vt:lpstr>
      <vt:lpstr>Tabela 6</vt:lpstr>
      <vt:lpstr>Tabela 6.1</vt:lpstr>
      <vt:lpstr>Tabela 7</vt:lpstr>
      <vt:lpstr>Tabela 7.1</vt:lpstr>
      <vt:lpstr>Tabela 8</vt:lpstr>
      <vt:lpstr>Tabela 8.1</vt:lpstr>
      <vt:lpstr>Tabela 9</vt:lpstr>
      <vt:lpstr>Tabela 10</vt:lpstr>
      <vt:lpstr>Tabela 11</vt:lpstr>
      <vt:lpstr>'Tabela 1'!Area_de_impressao</vt:lpstr>
      <vt:lpstr>'Tabela 10'!Area_de_impressao</vt:lpstr>
      <vt:lpstr>'Tabela 11'!Area_de_impressao</vt:lpstr>
      <vt:lpstr>'Tabela 2'!Area_de_impressao</vt:lpstr>
      <vt:lpstr>'Tabela 5'!Area_de_impressao</vt:lpstr>
      <vt:lpstr>'Tabela 5.1'!Area_de_impressao</vt:lpstr>
      <vt:lpstr>'Tabela 6'!Area_de_impressao</vt:lpstr>
      <vt:lpstr>'Tabela 6.1'!Area_de_impressao</vt:lpstr>
      <vt:lpstr>'Tabela 7'!Area_de_impressao</vt:lpstr>
      <vt:lpstr>'Tabela 7.1'!Area_de_impressao</vt:lpstr>
      <vt:lpstr>'Tabela 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Rosângela Jardim de Farias</dc:creator>
  <cp:keywords/>
  <dc:description/>
  <cp:lastModifiedBy>Natanael Soares</cp:lastModifiedBy>
  <cp:revision/>
  <dcterms:created xsi:type="dcterms:W3CDTF">2016-09-01T12:53:14Z</dcterms:created>
  <dcterms:modified xsi:type="dcterms:W3CDTF">2026-05-09T01:42:56Z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0x010100630B532571D01743925DA9500A8046C1</vt:lpwstr>
  </property>
  <property fmtid="{D5CDD505-2E9C-101B-9397-08002B2CF9AE}" pid="3" name="MediaServiceImageTags">
    <vt:lpwstr/>
  </property>
</Properties>
</file>